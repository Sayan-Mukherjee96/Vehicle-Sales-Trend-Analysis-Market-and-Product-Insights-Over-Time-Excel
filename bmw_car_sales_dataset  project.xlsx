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Excel\Excel Project\"/>
    </mc:Choice>
  </mc:AlternateContent>
  <xr:revisionPtr revIDLastSave="0" documentId="13_ncr:1_{AA3747A8-D310-4BF7-AA76-65E9B1955F40}" xr6:coauthVersionLast="47" xr6:coauthVersionMax="47" xr10:uidLastSave="{00000000-0000-0000-0000-000000000000}"/>
  <bookViews>
    <workbookView xWindow="-120" yWindow="-120" windowWidth="29040" windowHeight="15720" activeTab="2" xr2:uid="{DA77E1B4-DDBA-4492-9A4D-11C14A0414F0}"/>
  </bookViews>
  <sheets>
    <sheet name="bmw_car_sales_dataset " sheetId="1" r:id="rId1"/>
    <sheet name="Sheet1" sheetId="2" r:id="rId2"/>
    <sheet name="Product, Technology &amp; Performan" sheetId="4" r:id="rId3"/>
    <sheet name="Sheet2" sheetId="3" r:id="rId4"/>
    <sheet name="Market Overview " sheetId="5" r:id="rId5"/>
  </sheets>
  <definedNames>
    <definedName name="Slicer_Fuel_Type">#N/A</definedName>
    <definedName name="Slicer_Month">#N/A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1" i="1" l="1"/>
  <c r="A181" i="1" a="1"/>
  <c r="A180" i="1"/>
  <c r="A180" i="1" a="1"/>
  <c r="A179" i="1"/>
  <c r="A179" i="1" a="1"/>
  <c r="A178" i="1"/>
  <c r="A178" i="1" a="1"/>
  <c r="A177" i="1"/>
  <c r="A177" i="1" a="1"/>
  <c r="A176" i="1"/>
  <c r="A176" i="1" a="1"/>
  <c r="A175" i="1"/>
  <c r="A175" i="1" a="1"/>
  <c r="A174" i="1"/>
  <c r="A174" i="1" a="1"/>
  <c r="A173" i="1"/>
  <c r="A173" i="1" a="1"/>
  <c r="A172" i="1"/>
  <c r="A172" i="1" a="1"/>
  <c r="A171" i="1"/>
  <c r="A171" i="1" a="1"/>
  <c r="A170" i="1"/>
  <c r="A170" i="1" a="1"/>
  <c r="A169" i="1"/>
  <c r="A169" i="1" a="1"/>
  <c r="A168" i="1"/>
  <c r="A168" i="1" a="1"/>
  <c r="A167" i="1"/>
  <c r="A167" i="1" a="1"/>
  <c r="A166" i="1"/>
  <c r="A166" i="1" a="1"/>
  <c r="A165" i="1"/>
  <c r="A165" i="1" a="1"/>
  <c r="A164" i="1"/>
  <c r="A164" i="1" a="1"/>
  <c r="A163" i="1"/>
  <c r="A163" i="1" a="1"/>
  <c r="A162" i="1"/>
  <c r="A162" i="1" a="1"/>
  <c r="A161" i="1"/>
  <c r="A161" i="1" a="1"/>
  <c r="A160" i="1"/>
  <c r="A160" i="1" a="1"/>
  <c r="A159" i="1"/>
  <c r="A159" i="1" a="1"/>
  <c r="A158" i="1"/>
  <c r="A158" i="1" a="1"/>
  <c r="A157" i="1"/>
  <c r="A157" i="1" a="1"/>
  <c r="A156" i="1"/>
  <c r="A156" i="1" a="1"/>
  <c r="A155" i="1"/>
  <c r="A155" i="1" a="1"/>
  <c r="A154" i="1"/>
  <c r="A154" i="1" a="1"/>
  <c r="A153" i="1"/>
  <c r="A153" i="1" a="1"/>
  <c r="A152" i="1"/>
  <c r="A152" i="1" a="1"/>
  <c r="A151" i="1"/>
  <c r="A151" i="1" a="1"/>
  <c r="A150" i="1"/>
  <c r="A150" i="1" a="1"/>
  <c r="A149" i="1"/>
  <c r="A149" i="1" a="1"/>
  <c r="A148" i="1"/>
  <c r="A148" i="1" a="1"/>
  <c r="A147" i="1"/>
  <c r="A147" i="1" a="1"/>
  <c r="A146" i="1"/>
  <c r="A146" i="1" a="1"/>
  <c r="A145" i="1"/>
  <c r="A145" i="1" a="1"/>
  <c r="A144" i="1"/>
  <c r="A144" i="1" a="1"/>
  <c r="A143" i="1"/>
  <c r="A143" i="1" a="1"/>
  <c r="A142" i="1"/>
  <c r="A142" i="1" a="1"/>
  <c r="A141" i="1"/>
  <c r="A141" i="1" a="1"/>
  <c r="A140" i="1"/>
  <c r="A140" i="1" a="1"/>
  <c r="A139" i="1"/>
  <c r="A139" i="1" a="1"/>
  <c r="A138" i="1"/>
  <c r="A138" i="1" a="1"/>
  <c r="A137" i="1"/>
  <c r="A137" i="1" a="1"/>
  <c r="A136" i="1"/>
  <c r="A136" i="1" a="1"/>
  <c r="A135" i="1"/>
  <c r="A135" i="1" a="1"/>
  <c r="A134" i="1"/>
  <c r="A134" i="1" a="1"/>
  <c r="A133" i="1"/>
  <c r="A133" i="1" a="1"/>
  <c r="A132" i="1"/>
  <c r="A132" i="1" a="1"/>
  <c r="A131" i="1"/>
  <c r="A131" i="1" a="1"/>
  <c r="A130" i="1"/>
  <c r="A130" i="1" a="1"/>
  <c r="A129" i="1"/>
  <c r="A129" i="1" a="1"/>
  <c r="A128" i="1"/>
  <c r="A128" i="1" a="1"/>
  <c r="A127" i="1"/>
  <c r="A127" i="1" a="1"/>
  <c r="A126" i="1"/>
  <c r="A126" i="1" a="1"/>
  <c r="A125" i="1"/>
  <c r="A125" i="1" a="1"/>
  <c r="A124" i="1"/>
  <c r="A124" i="1" a="1"/>
  <c r="A123" i="1"/>
  <c r="A123" i="1" a="1"/>
  <c r="A122" i="1"/>
  <c r="A122" i="1" a="1"/>
  <c r="A121" i="1"/>
  <c r="A121" i="1" a="1"/>
  <c r="A120" i="1"/>
  <c r="A120" i="1" a="1"/>
  <c r="A119" i="1"/>
  <c r="A119" i="1" a="1"/>
  <c r="A118" i="1"/>
  <c r="A118" i="1" a="1"/>
  <c r="A117" i="1"/>
  <c r="A117" i="1" a="1"/>
  <c r="A116" i="1"/>
  <c r="A116" i="1" a="1"/>
  <c r="A115" i="1"/>
  <c r="A115" i="1" a="1"/>
  <c r="A114" i="1"/>
  <c r="A114" i="1" a="1"/>
  <c r="A113" i="1"/>
  <c r="A113" i="1" a="1"/>
  <c r="A112" i="1"/>
  <c r="A112" i="1" a="1"/>
  <c r="A111" i="1"/>
  <c r="A111" i="1" a="1"/>
  <c r="A110" i="1"/>
  <c r="A110" i="1" a="1"/>
  <c r="A109" i="1"/>
  <c r="A109" i="1" a="1"/>
  <c r="A108" i="1"/>
  <c r="A108" i="1" a="1"/>
  <c r="A107" i="1"/>
  <c r="A107" i="1" a="1"/>
  <c r="A106" i="1"/>
  <c r="A106" i="1" a="1"/>
  <c r="A105" i="1"/>
  <c r="A105" i="1" a="1"/>
  <c r="A104" i="1"/>
  <c r="A104" i="1" a="1"/>
  <c r="A103" i="1"/>
  <c r="A103" i="1" a="1"/>
  <c r="A102" i="1"/>
  <c r="A102" i="1" a="1"/>
  <c r="A101" i="1"/>
  <c r="A101" i="1" a="1"/>
  <c r="A100" i="1"/>
  <c r="A100" i="1" a="1"/>
  <c r="A99" i="1"/>
  <c r="A99" i="1" a="1"/>
  <c r="A98" i="1"/>
  <c r="A98" i="1" a="1"/>
  <c r="A97" i="1"/>
  <c r="A97" i="1" a="1"/>
  <c r="A96" i="1"/>
  <c r="A96" i="1" a="1"/>
  <c r="A95" i="1"/>
  <c r="A95" i="1" a="1"/>
  <c r="A94" i="1"/>
  <c r="A94" i="1" a="1"/>
  <c r="A93" i="1"/>
  <c r="A93" i="1" a="1"/>
  <c r="A92" i="1"/>
  <c r="A92" i="1" a="1"/>
  <c r="A91" i="1"/>
  <c r="A91" i="1" a="1"/>
  <c r="A90" i="1"/>
  <c r="A90" i="1" a="1"/>
  <c r="A89" i="1"/>
  <c r="A89" i="1" a="1"/>
  <c r="A88" i="1"/>
  <c r="A88" i="1" a="1"/>
  <c r="A87" i="1"/>
  <c r="A87" i="1" a="1"/>
  <c r="A86" i="1"/>
  <c r="A86" i="1" a="1"/>
  <c r="A85" i="1"/>
  <c r="A85" i="1" a="1"/>
  <c r="A84" i="1"/>
  <c r="A84" i="1" a="1"/>
  <c r="A83" i="1"/>
  <c r="A83" i="1" a="1"/>
  <c r="A82" i="1"/>
  <c r="A82" i="1" a="1"/>
  <c r="A81" i="1"/>
  <c r="A81" i="1" a="1"/>
  <c r="A80" i="1"/>
  <c r="A80" i="1" a="1"/>
  <c r="A79" i="1"/>
  <c r="A79" i="1" a="1"/>
  <c r="A78" i="1"/>
  <c r="A78" i="1" a="1"/>
  <c r="A77" i="1"/>
  <c r="A77" i="1" a="1"/>
  <c r="A76" i="1"/>
  <c r="A76" i="1" a="1"/>
  <c r="A75" i="1"/>
  <c r="A75" i="1" a="1"/>
  <c r="A74" i="1"/>
  <c r="A74" i="1" a="1"/>
  <c r="A73" i="1"/>
  <c r="A73" i="1" a="1"/>
  <c r="A72" i="1"/>
  <c r="A72" i="1" a="1"/>
  <c r="A71" i="1"/>
  <c r="A71" i="1" a="1"/>
  <c r="A70" i="1"/>
  <c r="A70" i="1" a="1"/>
  <c r="A69" i="1"/>
  <c r="A69" i="1" a="1"/>
  <c r="A68" i="1"/>
  <c r="A68" i="1" a="1"/>
  <c r="A67" i="1"/>
  <c r="A67" i="1" a="1"/>
  <c r="A66" i="1"/>
  <c r="A66" i="1" a="1"/>
  <c r="A65" i="1"/>
  <c r="A65" i="1" a="1"/>
  <c r="A64" i="1"/>
  <c r="A64" i="1" a="1"/>
  <c r="A63" i="1"/>
  <c r="A63" i="1" a="1"/>
  <c r="A62" i="1"/>
  <c r="A62" i="1" a="1"/>
  <c r="A61" i="1"/>
  <c r="A61" i="1" a="1"/>
  <c r="A60" i="1"/>
  <c r="A60" i="1" a="1"/>
  <c r="A59" i="1"/>
  <c r="A59" i="1" a="1"/>
  <c r="A58" i="1"/>
  <c r="A58" i="1" a="1"/>
  <c r="A57" i="1"/>
  <c r="A57" i="1" a="1"/>
  <c r="A56" i="1"/>
  <c r="A56" i="1" a="1"/>
  <c r="A55" i="1"/>
  <c r="A55" i="1" a="1"/>
  <c r="A54" i="1"/>
  <c r="A54" i="1" a="1"/>
  <c r="A53" i="1"/>
  <c r="A53" i="1" a="1"/>
  <c r="A52" i="1"/>
  <c r="A52" i="1" a="1"/>
  <c r="A51" i="1"/>
  <c r="A51" i="1" a="1"/>
  <c r="A50" i="1"/>
  <c r="A50" i="1" a="1"/>
  <c r="A49" i="1"/>
  <c r="A49" i="1" a="1"/>
  <c r="A48" i="1"/>
  <c r="A48" i="1" a="1"/>
  <c r="A47" i="1"/>
  <c r="A47" i="1" a="1"/>
  <c r="A46" i="1"/>
  <c r="A46" i="1" a="1"/>
  <c r="A45" i="1"/>
  <c r="A45" i="1" a="1"/>
  <c r="A44" i="1"/>
  <c r="A44" i="1" a="1"/>
  <c r="A43" i="1"/>
  <c r="A43" i="1" a="1"/>
  <c r="A42" i="1"/>
  <c r="A42" i="1" a="1"/>
  <c r="A41" i="1"/>
  <c r="A41" i="1" a="1"/>
  <c r="A40" i="1"/>
  <c r="A40" i="1" a="1"/>
  <c r="A39" i="1"/>
  <c r="A39" i="1" a="1"/>
  <c r="A38" i="1"/>
  <c r="A38" i="1" a="1"/>
  <c r="A37" i="1"/>
  <c r="A37" i="1" a="1"/>
  <c r="A36" i="1"/>
  <c r="A36" i="1" a="1"/>
  <c r="A35" i="1"/>
  <c r="A35" i="1" a="1"/>
  <c r="A34" i="1"/>
  <c r="A34" i="1" a="1"/>
  <c r="A33" i="1"/>
  <c r="A33" i="1" a="1"/>
  <c r="A32" i="1"/>
  <c r="A32" i="1" a="1"/>
  <c r="A31" i="1"/>
  <c r="A31" i="1" a="1"/>
  <c r="A30" i="1"/>
  <c r="A30" i="1" a="1"/>
  <c r="A29" i="1"/>
  <c r="A29" i="1" a="1"/>
  <c r="A28" i="1"/>
  <c r="A28" i="1" a="1"/>
  <c r="A27" i="1"/>
  <c r="A27" i="1" a="1"/>
  <c r="A26" i="1"/>
  <c r="A26" i="1" a="1"/>
  <c r="A25" i="1"/>
  <c r="A25" i="1" a="1"/>
  <c r="A24" i="1"/>
  <c r="A24" i="1" a="1"/>
  <c r="A23" i="1"/>
  <c r="A23" i="1" a="1"/>
  <c r="A22" i="1"/>
  <c r="A22" i="1" a="1"/>
  <c r="A21" i="1"/>
  <c r="A21" i="1" a="1"/>
  <c r="A20" i="1"/>
  <c r="A20" i="1" a="1"/>
  <c r="A19" i="1"/>
  <c r="A19" i="1" a="1"/>
  <c r="A18" i="1"/>
  <c r="A18" i="1" a="1"/>
  <c r="A17" i="1"/>
  <c r="A17" i="1" a="1"/>
  <c r="A16" i="1"/>
  <c r="A16" i="1" a="1"/>
  <c r="A15" i="1"/>
  <c r="A15" i="1" a="1"/>
  <c r="A14" i="1"/>
  <c r="A14" i="1" a="1"/>
  <c r="A13" i="1"/>
  <c r="A13" i="1" a="1"/>
  <c r="A12" i="1"/>
  <c r="A12" i="1" a="1"/>
  <c r="A11" i="1"/>
  <c r="A11" i="1" a="1"/>
  <c r="A10" i="1"/>
  <c r="A10" i="1" a="1"/>
  <c r="A9" i="1"/>
  <c r="A9" i="1" a="1"/>
  <c r="A8" i="1"/>
  <c r="A8" i="1" a="1"/>
  <c r="A7" i="1"/>
  <c r="A7" i="1" a="1"/>
  <c r="A6" i="1"/>
  <c r="A6" i="1" a="1"/>
  <c r="A5" i="1"/>
  <c r="A5" i="1" a="1"/>
  <c r="A4" i="1"/>
  <c r="A4" i="1" a="1"/>
  <c r="A3" i="1"/>
  <c r="A3" i="1" a="1"/>
  <c r="A2" i="1"/>
  <c r="A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<sst xmlns="http://schemas.openxmlformats.org/spreadsheetml/2006/main" count="1188" uniqueCount="70">
  <si>
    <t>Month</t>
  </si>
  <si>
    <t>Region</t>
  </si>
  <si>
    <t>Color</t>
  </si>
  <si>
    <t>Fuel_Type</t>
  </si>
  <si>
    <t>Transmission</t>
  </si>
  <si>
    <t>Engine_Size_L</t>
  </si>
  <si>
    <t>Mileage_KM</t>
  </si>
  <si>
    <t>Price_USD</t>
  </si>
  <si>
    <t>Sales_Classification</t>
  </si>
  <si>
    <t>January</t>
  </si>
  <si>
    <t>Asia</t>
  </si>
  <si>
    <t>Red</t>
  </si>
  <si>
    <t>Hybrid</t>
  </si>
  <si>
    <t>Manual</t>
  </si>
  <si>
    <t>Medium</t>
  </si>
  <si>
    <t>February</t>
  </si>
  <si>
    <t>USA</t>
  </si>
  <si>
    <t>White</t>
  </si>
  <si>
    <t>Petrol</t>
  </si>
  <si>
    <t>Automatic</t>
  </si>
  <si>
    <t>High</t>
  </si>
  <si>
    <t>March</t>
  </si>
  <si>
    <t>Silver</t>
  </si>
  <si>
    <t>Electric</t>
  </si>
  <si>
    <t>April</t>
  </si>
  <si>
    <t>May</t>
  </si>
  <si>
    <t>Europe</t>
  </si>
  <si>
    <t>June</t>
  </si>
  <si>
    <t>Grey</t>
  </si>
  <si>
    <t>July</t>
  </si>
  <si>
    <t>Low</t>
  </si>
  <si>
    <t>August</t>
  </si>
  <si>
    <t>Blue</t>
  </si>
  <si>
    <t>September</t>
  </si>
  <si>
    <t>October</t>
  </si>
  <si>
    <t>November</t>
  </si>
  <si>
    <t>December</t>
  </si>
  <si>
    <t>Diesel</t>
  </si>
  <si>
    <t>Black</t>
  </si>
  <si>
    <t>Year</t>
  </si>
  <si>
    <t>Units_Sold</t>
  </si>
  <si>
    <t>Models</t>
  </si>
  <si>
    <t>Row Labels</t>
  </si>
  <si>
    <t>3 Series</t>
  </si>
  <si>
    <t>5 Series</t>
  </si>
  <si>
    <t>7 Series</t>
  </si>
  <si>
    <t>i3</t>
  </si>
  <si>
    <t>i8</t>
  </si>
  <si>
    <t>M3</t>
  </si>
  <si>
    <t>M5</t>
  </si>
  <si>
    <t>X1</t>
  </si>
  <si>
    <t>X3</t>
  </si>
  <si>
    <t>X5</t>
  </si>
  <si>
    <t>X6</t>
  </si>
  <si>
    <t>Grand Total</t>
  </si>
  <si>
    <t>Sum of Units_Sold</t>
  </si>
  <si>
    <t>Avg Price_USD</t>
  </si>
  <si>
    <t>Column Labels</t>
  </si>
  <si>
    <t>Total Units Sold</t>
  </si>
  <si>
    <t>Average of Price_USD</t>
  </si>
  <si>
    <t>Total Revenue</t>
  </si>
  <si>
    <t>Avg Engine Size</t>
  </si>
  <si>
    <t>Avg Mileage</t>
  </si>
  <si>
    <t>Sum of Revenue</t>
  </si>
  <si>
    <t>Avg Price USD</t>
  </si>
  <si>
    <t>Average of Units_Sold</t>
  </si>
  <si>
    <t>Average of Revenue</t>
  </si>
  <si>
    <t>Count of Sales_Classification</t>
  </si>
  <si>
    <t>Number of Unit Sold</t>
  </si>
  <si>
    <t>Min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</si>
</sst>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_ ;_ * \-#,##0_ ;_ * &quot;-&quot;??_ ;_ @_ "/>
    <numFmt numFmtId="165" formatCode="[$$-409]#,##0.00"/>
    <numFmt numFmtId="166" formatCode="[$$-409]#,##0"/>
    <numFmt numFmtId="167" formatCode="[$$-409]#,##0_ ;\-[$$-409]#,##0\ "/>
    <numFmt numFmtId="168" formatCode="_-[$$-540A]* #,##0_ ;_-[$$-540A]* \-#,##0\ ;_-[$$-540A]*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2" fontId="0" fillId="0" borderId="0" xfId="0" applyNumberFormat="1"/>
    <xf numFmtId="1" fontId="0" fillId="0" borderId="0" xfId="0" applyNumberFormat="1"/>
    <xf numFmtId="167" fontId="0" fillId="0" borderId="0" xfId="0" applyNumberFormat="1"/>
    <xf numFmtId="168" fontId="0" fillId="0" borderId="0" xfId="0" applyNumberFormat="1"/>
    <xf numFmtId="0" fontId="0" fillId="0" borderId="10" xfId="0" applyBorder="1"/>
    <xf numFmtId="0" fontId="0" fillId="0" borderId="11" xfId="0" applyBorder="1"/>
    <xf numFmtId="0" fontId="0" fillId="0" borderId="12" xfId="0" applyBorder="1"/>
    <xf numFmtId="1" fontId="0" fillId="0" borderId="13" xfId="0" applyNumberFormat="1" applyBorder="1"/>
    <xf numFmtId="1" fontId="0" fillId="0" borderId="14" xfId="0" applyNumberFormat="1"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 * #,##0_ ;_ * \-#,##0_ ;_ * &quot;-&quot;??_ ;_ @_ "/>
    </dxf>
    <dxf>
      <numFmt numFmtId="168" formatCode="_-[$$-540A]* #,##0_ ;_-[$$-540A]* \-#,##0\ ;_-[$$-540A]* &quot;-&quot;_ ;_-@_ "/>
    </dxf>
    <dxf>
      <numFmt numFmtId="164" formatCode="_ * #,##0_ ;_ * \-#,##0_ ;_ * &quot;-&quot;??_ ;_ @_ "/>
    </dxf>
    <dxf>
      <numFmt numFmtId="167" formatCode="[$$-409]#,##0_ ;\-[$$-409]#,##0\ "/>
    </dxf>
    <dxf>
      <numFmt numFmtId="166" formatCode="[$$-409]#,##0"/>
    </dxf>
    <dxf>
      <numFmt numFmtId="166" formatCode="[$$-409]#,##0"/>
    </dxf>
    <dxf>
      <numFmt numFmtId="164" formatCode="_ * #,##0_ ;_ * \-#,##0_ ;_ * &quot;-&quot;??_ ;_ @_ "/>
    </dxf>
    <dxf>
      <numFmt numFmtId="164" formatCode="_ * #,##0_ ;_ * \-#,##0_ ;_ * &quot;-&quot;??_ ;_ @_ "/>
    </dxf>
    <dxf>
      <numFmt numFmtId="166" formatCode="[$$-409]#,##0"/>
    </dxf>
    <dxf>
      <numFmt numFmtId="2" formatCode="0.00"/>
    </dxf>
    <dxf>
      <numFmt numFmtId="2" formatCode="0.00"/>
    </dxf>
    <dxf>
      <numFmt numFmtId="1" formatCode="0"/>
    </dxf>
    <dxf>
      <numFmt numFmtId="1" formatCode="0"/>
    </dxf>
    <dxf>
      <numFmt numFmtId="164" formatCode="_ * #,##0_ ;_ * \-#,##0_ ;_ * &quot;-&quot;??_ ;_ @_ "/>
    </dxf>
    <dxf>
      <numFmt numFmtId="165" formatCode="[$$-409]#,##0.00"/>
    </dxf>
    <dxf>
      <numFmt numFmtId="164" formatCode="_ * #,##0_ ;_ * \-#,##0_ ;_ * &quot;-&quot;??_ ;_ @_ "/>
    </dxf>
  </dxfs>
  <tableStyles count="0" defaultTableStyle="TableStyleMedium2" defaultPivotStyle="PivotStyleLight16"/>
  <colors>
    <mruColors>
      <color rgb="FFD32F2F"/>
      <color rgb="FF1F4E99"/>
      <color rgb="FF00AFE2"/>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rPr>
              <a:t>Sales Performance of BMW Models by Units Sold and Average Price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FE2"/>
          </a:solidFill>
          <a:ln>
            <a:noFill/>
          </a:ln>
          <a:effectLst/>
        </c:spPr>
      </c:pivotFmt>
      <c:pivotFmt>
        <c:idx val="3"/>
        <c:spPr>
          <a:solidFill>
            <a:srgbClr val="D32F2F"/>
          </a:solidFill>
          <a:ln>
            <a:solidFill>
              <a:srgbClr val="D32F2F"/>
            </a:solidFill>
          </a:ln>
          <a:effectLst/>
        </c:spPr>
      </c:pivotFmt>
      <c:pivotFmt>
        <c:idx val="4"/>
        <c:spPr>
          <a:solidFill>
            <a:srgbClr val="D32F2F"/>
          </a:solidFill>
          <a:ln>
            <a:solidFill>
              <a:srgbClr val="D32F2F"/>
            </a:solidFill>
          </a:ln>
          <a:effectLst/>
        </c:spPr>
      </c:pivotFmt>
      <c:pivotFmt>
        <c:idx val="5"/>
        <c:spPr>
          <a:solidFill>
            <a:srgbClr val="00AFE2"/>
          </a:solidFill>
          <a:ln>
            <a:noFill/>
          </a:ln>
          <a:effectLst/>
        </c:spPr>
      </c:pivotFmt>
      <c:pivotFmt>
        <c:idx val="6"/>
        <c:spPr>
          <a:solidFill>
            <a:srgbClr val="D32F2F"/>
          </a:solidFill>
          <a:ln>
            <a:solidFill>
              <a:srgbClr val="D32F2F"/>
            </a:solidFill>
          </a:ln>
          <a:effectLst/>
        </c:spPr>
      </c:pivotFmt>
      <c:pivotFmt>
        <c:idx val="7"/>
        <c:spPr>
          <a:solidFill>
            <a:srgbClr val="00AFE2"/>
          </a:solidFill>
          <a:ln>
            <a:noFill/>
          </a:ln>
          <a:effectLst/>
        </c:spPr>
      </c:pivotFmt>
      <c:pivotFmt>
        <c:idx val="8"/>
        <c:spPr>
          <a:solidFill>
            <a:srgbClr val="D32F2F"/>
          </a:solidFill>
          <a:ln>
            <a:solidFill>
              <a:srgbClr val="D32F2F"/>
            </a:solidFill>
          </a:ln>
          <a:effectLst/>
        </c:spPr>
      </c:pivotFmt>
      <c:pivotFmt>
        <c:idx val="9"/>
        <c:spPr>
          <a:solidFill>
            <a:srgbClr val="00AFE2"/>
          </a:solidFill>
          <a:ln>
            <a:noFill/>
          </a:ln>
          <a:effectLst/>
        </c:spPr>
      </c:pivotFmt>
      <c:pivotFmt>
        <c:idx val="10"/>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57742782152229E-2"/>
          <c:y val="0.19074330992209768"/>
          <c:w val="0.90609392575928005"/>
          <c:h val="0.7975941664411339"/>
        </c:manualLayout>
      </c:layout>
      <c:barChart>
        <c:barDir val="bar"/>
        <c:grouping val="clustered"/>
        <c:varyColors val="0"/>
        <c:ser>
          <c:idx val="0"/>
          <c:order val="0"/>
          <c:tx>
            <c:strRef>
              <c:f>Sheet1!$D$2</c:f>
              <c:strCache>
                <c:ptCount val="1"/>
                <c:pt idx="0">
                  <c:v>Number of Unit Sold</c:v>
                </c:pt>
              </c:strCache>
            </c:strRef>
          </c:tx>
          <c:spPr>
            <a:solidFill>
              <a:srgbClr val="D32F2F"/>
            </a:solidFill>
            <a:ln>
              <a:solidFill>
                <a:srgbClr val="D32F2F"/>
              </a:solidFill>
            </a:ln>
            <a:effectLst/>
          </c:spPr>
          <c:invertIfNegative val="0"/>
          <c:dPt>
            <c:idx val="0"/>
            <c:invertIfNegative val="0"/>
            <c:bubble3D val="0"/>
            <c:extLst>
              <c:ext xmlns:c16="http://schemas.microsoft.com/office/drawing/2014/chart" uri="{C3380CC4-5D6E-409C-BE32-E72D297353CC}">
                <c16:uniqueId val="{00000004-9DAE-4436-9E2E-A2B5CF22C46D}"/>
              </c:ext>
            </c:extLst>
          </c:dPt>
          <c:dPt>
            <c:idx val="1"/>
            <c:invertIfNegative val="0"/>
            <c:bubble3D val="0"/>
            <c:extLst>
              <c:ext xmlns:c16="http://schemas.microsoft.com/office/drawing/2014/chart" uri="{C3380CC4-5D6E-409C-BE32-E72D297353CC}">
                <c16:uniqueId val="{00000002-BBF2-43C9-9483-47E27351245D}"/>
              </c:ext>
            </c:extLst>
          </c:dPt>
          <c:dPt>
            <c:idx val="2"/>
            <c:invertIfNegative val="0"/>
            <c:bubble3D val="0"/>
            <c:extLst>
              <c:ext xmlns:c16="http://schemas.microsoft.com/office/drawing/2014/chart" uri="{C3380CC4-5D6E-409C-BE32-E72D297353CC}">
                <c16:uniqueId val="{00000003-AA4E-46F5-87B1-394AB1EA9990}"/>
              </c:ext>
            </c:extLst>
          </c:dPt>
          <c:dPt>
            <c:idx val="7"/>
            <c:invertIfNegative val="0"/>
            <c:bubble3D val="0"/>
            <c:spPr>
              <a:solidFill>
                <a:srgbClr val="D32F2F"/>
              </a:solidFill>
              <a:ln>
                <a:solidFill>
                  <a:srgbClr val="D32F2F"/>
                </a:solidFill>
              </a:ln>
              <a:effectLst/>
            </c:spPr>
            <c:extLst>
              <c:ext xmlns:c16="http://schemas.microsoft.com/office/drawing/2014/chart" uri="{C3380CC4-5D6E-409C-BE32-E72D297353CC}">
                <c16:uniqueId val="{00000004-A9B9-47AF-BBC9-E1132636F835}"/>
              </c:ext>
            </c:extLst>
          </c:dPt>
          <c:dPt>
            <c:idx val="9"/>
            <c:invertIfNegative val="0"/>
            <c:bubble3D val="0"/>
            <c:extLst>
              <c:ext xmlns:c16="http://schemas.microsoft.com/office/drawing/2014/chart" uri="{C3380CC4-5D6E-409C-BE32-E72D297353CC}">
                <c16:uniqueId val="{00000004-FA99-4CF1-ADD0-9235582F74C4}"/>
              </c:ext>
            </c:extLst>
          </c:dPt>
          <c:dLbls>
            <c:dLbl>
              <c:idx val="7"/>
              <c:layout>
                <c:manualLayout>
                  <c:x val="-7.8979522014211261E-17"/>
                  <c:y val="1.1220194701299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B9-47AF-BBC9-E1132636F8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Sheet1!$C$3:$C$14</c:f>
              <c:strCache>
                <c:ptCount val="11"/>
                <c:pt idx="0">
                  <c:v>M5</c:v>
                </c:pt>
                <c:pt idx="1">
                  <c:v>X6</c:v>
                </c:pt>
                <c:pt idx="2">
                  <c:v>X3</c:v>
                </c:pt>
                <c:pt idx="3">
                  <c:v>X5</c:v>
                </c:pt>
                <c:pt idx="4">
                  <c:v>X1</c:v>
                </c:pt>
                <c:pt idx="5">
                  <c:v>i8</c:v>
                </c:pt>
                <c:pt idx="6">
                  <c:v>i3</c:v>
                </c:pt>
                <c:pt idx="7">
                  <c:v>M3</c:v>
                </c:pt>
                <c:pt idx="8">
                  <c:v>7 Series</c:v>
                </c:pt>
                <c:pt idx="9">
                  <c:v>5 Series</c:v>
                </c:pt>
                <c:pt idx="10">
                  <c:v>3 Series</c:v>
                </c:pt>
              </c:strCache>
            </c:strRef>
          </c:cat>
          <c:val>
            <c:numRef>
              <c:f>Sheet1!$D$3:$D$14</c:f>
              <c:numCache>
                <c:formatCode>_ * #,##0_ ;_ * \-#,##0_ ;_ * "-"??_ ;_ @_ </c:formatCode>
                <c:ptCount val="11"/>
                <c:pt idx="0">
                  <c:v>34286</c:v>
                </c:pt>
                <c:pt idx="1">
                  <c:v>38063</c:v>
                </c:pt>
                <c:pt idx="2">
                  <c:v>38747</c:v>
                </c:pt>
                <c:pt idx="3">
                  <c:v>38779</c:v>
                </c:pt>
                <c:pt idx="4">
                  <c:v>40011</c:v>
                </c:pt>
                <c:pt idx="5">
                  <c:v>46886</c:v>
                </c:pt>
                <c:pt idx="6">
                  <c:v>47107</c:v>
                </c:pt>
                <c:pt idx="7">
                  <c:v>48100</c:v>
                </c:pt>
                <c:pt idx="8">
                  <c:v>48170</c:v>
                </c:pt>
                <c:pt idx="9">
                  <c:v>48703</c:v>
                </c:pt>
                <c:pt idx="10">
                  <c:v>51426</c:v>
                </c:pt>
              </c:numCache>
            </c:numRef>
          </c:val>
          <c:extLst>
            <c:ext xmlns:c16="http://schemas.microsoft.com/office/drawing/2014/chart" uri="{C3380CC4-5D6E-409C-BE32-E72D297353CC}">
              <c16:uniqueId val="{00000000-9DAE-4436-9E2E-A2B5CF22C46D}"/>
            </c:ext>
          </c:extLst>
        </c:ser>
        <c:ser>
          <c:idx val="1"/>
          <c:order val="1"/>
          <c:tx>
            <c:strRef>
              <c:f>Sheet1!$E$2</c:f>
              <c:strCache>
                <c:ptCount val="1"/>
                <c:pt idx="0">
                  <c:v>Avg Price_USD</c:v>
                </c:pt>
              </c:strCache>
            </c:strRef>
          </c:tx>
          <c:spPr>
            <a:solidFill>
              <a:srgbClr val="00AFE2"/>
            </a:solidFill>
            <a:ln>
              <a:noFill/>
            </a:ln>
            <a:effectLst/>
          </c:spPr>
          <c:invertIfNegative val="0"/>
          <c:dPt>
            <c:idx val="0"/>
            <c:invertIfNegative val="0"/>
            <c:bubble3D val="0"/>
            <c:extLst>
              <c:ext xmlns:c16="http://schemas.microsoft.com/office/drawing/2014/chart" uri="{C3380CC4-5D6E-409C-BE32-E72D297353CC}">
                <c16:uniqueId val="{00000003-9DAE-4436-9E2E-A2B5CF22C46D}"/>
              </c:ext>
            </c:extLst>
          </c:dPt>
          <c:dPt>
            <c:idx val="1"/>
            <c:invertIfNegative val="0"/>
            <c:bubble3D val="0"/>
            <c:extLst>
              <c:ext xmlns:c16="http://schemas.microsoft.com/office/drawing/2014/chart" uri="{C3380CC4-5D6E-409C-BE32-E72D297353CC}">
                <c16:uniqueId val="{00000005-BBF2-43C9-9483-47E27351245D}"/>
              </c:ext>
            </c:extLst>
          </c:dPt>
          <c:dPt>
            <c:idx val="2"/>
            <c:invertIfNegative val="0"/>
            <c:bubble3D val="0"/>
            <c:extLst>
              <c:ext xmlns:c16="http://schemas.microsoft.com/office/drawing/2014/chart" uri="{C3380CC4-5D6E-409C-BE32-E72D297353CC}">
                <c16:uniqueId val="{00000007-AA4E-46F5-87B1-394AB1EA9990}"/>
              </c:ext>
            </c:extLst>
          </c:dPt>
          <c:dPt>
            <c:idx val="7"/>
            <c:invertIfNegative val="0"/>
            <c:bubble3D val="0"/>
            <c:spPr>
              <a:solidFill>
                <a:srgbClr val="00AFE2"/>
              </a:solidFill>
              <a:ln>
                <a:noFill/>
              </a:ln>
              <a:effectLst/>
            </c:spPr>
            <c:extLst>
              <c:ext xmlns:c16="http://schemas.microsoft.com/office/drawing/2014/chart" uri="{C3380CC4-5D6E-409C-BE32-E72D297353CC}">
                <c16:uniqueId val="{0000000A-A9B9-47AF-BBC9-E1132636F835}"/>
              </c:ext>
            </c:extLst>
          </c:dPt>
          <c:dPt>
            <c:idx val="9"/>
            <c:invertIfNegative val="0"/>
            <c:bubble3D val="0"/>
            <c:extLst>
              <c:ext xmlns:c16="http://schemas.microsoft.com/office/drawing/2014/chart" uri="{C3380CC4-5D6E-409C-BE32-E72D297353CC}">
                <c16:uniqueId val="{00000009-FA99-4CF1-ADD0-9235582F74C4}"/>
              </c:ext>
            </c:extLst>
          </c:dPt>
          <c:dLbls>
            <c:dLbl>
              <c:idx val="7"/>
              <c:layout>
                <c:manualLayout>
                  <c:x val="-2.1540118470652378E-3"/>
                  <c:y val="-1.49602596017331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B9-47AF-BBC9-E1132636F8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Sheet1!$C$3:$C$14</c:f>
              <c:strCache>
                <c:ptCount val="11"/>
                <c:pt idx="0">
                  <c:v>M5</c:v>
                </c:pt>
                <c:pt idx="1">
                  <c:v>X6</c:v>
                </c:pt>
                <c:pt idx="2">
                  <c:v>X3</c:v>
                </c:pt>
                <c:pt idx="3">
                  <c:v>X5</c:v>
                </c:pt>
                <c:pt idx="4">
                  <c:v>X1</c:v>
                </c:pt>
                <c:pt idx="5">
                  <c:v>i8</c:v>
                </c:pt>
                <c:pt idx="6">
                  <c:v>i3</c:v>
                </c:pt>
                <c:pt idx="7">
                  <c:v>M3</c:v>
                </c:pt>
                <c:pt idx="8">
                  <c:v>7 Series</c:v>
                </c:pt>
                <c:pt idx="9">
                  <c:v>5 Series</c:v>
                </c:pt>
                <c:pt idx="10">
                  <c:v>3 Series</c:v>
                </c:pt>
              </c:strCache>
            </c:strRef>
          </c:cat>
          <c:val>
            <c:numRef>
              <c:f>Sheet1!$E$3:$E$14</c:f>
              <c:numCache>
                <c:formatCode>[$$-409]#,##0.00</c:formatCode>
                <c:ptCount val="11"/>
                <c:pt idx="0">
                  <c:v>31220</c:v>
                </c:pt>
                <c:pt idx="1">
                  <c:v>31256.25</c:v>
                </c:pt>
                <c:pt idx="2">
                  <c:v>27431.3125</c:v>
                </c:pt>
                <c:pt idx="3">
                  <c:v>29510.0625</c:v>
                </c:pt>
                <c:pt idx="4">
                  <c:v>32827.3125</c:v>
                </c:pt>
                <c:pt idx="5">
                  <c:v>30479.1875</c:v>
                </c:pt>
                <c:pt idx="6">
                  <c:v>29230.647058823528</c:v>
                </c:pt>
                <c:pt idx="7">
                  <c:v>29885.5</c:v>
                </c:pt>
                <c:pt idx="8">
                  <c:v>30002.647058823528</c:v>
                </c:pt>
                <c:pt idx="9">
                  <c:v>30010.823529411766</c:v>
                </c:pt>
                <c:pt idx="10">
                  <c:v>27523.176470588234</c:v>
                </c:pt>
              </c:numCache>
            </c:numRef>
          </c:val>
          <c:extLst>
            <c:ext xmlns:c16="http://schemas.microsoft.com/office/drawing/2014/chart" uri="{C3380CC4-5D6E-409C-BE32-E72D297353CC}">
              <c16:uniqueId val="{00000001-9DAE-4436-9E2E-A2B5CF22C46D}"/>
            </c:ext>
          </c:extLst>
        </c:ser>
        <c:dLbls>
          <c:dLblPos val="outEnd"/>
          <c:showLegendKey val="0"/>
          <c:showVal val="1"/>
          <c:showCatName val="0"/>
          <c:showSerName val="0"/>
          <c:showPercent val="0"/>
          <c:showBubbleSize val="0"/>
        </c:dLbls>
        <c:gapWidth val="182"/>
        <c:axId val="1855708607"/>
        <c:axId val="1855712447"/>
      </c:barChart>
      <c:catAx>
        <c:axId val="185570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712447"/>
        <c:crosses val="autoZero"/>
        <c:auto val="1"/>
        <c:lblAlgn val="ctr"/>
        <c:lblOffset val="100"/>
        <c:noMultiLvlLbl val="0"/>
      </c:catAx>
      <c:valAx>
        <c:axId val="1855712447"/>
        <c:scaling>
          <c:orientation val="minMax"/>
        </c:scaling>
        <c:delete val="1"/>
        <c:axPos val="b"/>
        <c:numFmt formatCode="_ * #,##0_ ;_ * \-#,##0_ ;_ * &quot;-&quot;??_ ;_ @_ " sourceLinked="1"/>
        <c:majorTickMark val="none"/>
        <c:minorTickMark val="none"/>
        <c:tickLblPos val="nextTo"/>
        <c:crossAx val="1855708607"/>
        <c:crosses val="autoZero"/>
        <c:crossBetween val="between"/>
      </c:valAx>
      <c:spPr>
        <a:noFill/>
        <a:ln>
          <a:noFill/>
        </a:ln>
        <a:effectLst/>
      </c:spPr>
    </c:plotArea>
    <c:legend>
      <c:legendPos val="r"/>
      <c:layout>
        <c:manualLayout>
          <c:xMode val="edge"/>
          <c:yMode val="edge"/>
          <c:x val="0.78314053231229774"/>
          <c:y val="0.64275783550958987"/>
          <c:w val="0.21039743214650672"/>
          <c:h val="0.10378768446692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t>Trend of Transmission Preference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layout>
            <c:manualLayout>
              <c:x val="-5.4570259208731571E-3"/>
              <c:y val="-3.3566438495154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layout>
            <c:manualLayout>
              <c:x val="-5.457025920873191E-3"/>
              <c:y val="1.491841710895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1F4E99"/>
            </a:solidFill>
            <a:round/>
          </a:ln>
          <a:effectLst/>
        </c:spPr>
        <c:marker>
          <c:symbol val="none"/>
        </c:marker>
        <c:dLbl>
          <c:idx val="0"/>
          <c:layout>
            <c:manualLayout>
              <c:x val="0"/>
              <c:y val="-4.1025647049633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1F4E99"/>
            </a:solidFill>
            <a:round/>
          </a:ln>
          <a:effectLst/>
        </c:spPr>
        <c:marker>
          <c:symbol val="none"/>
        </c:marker>
        <c:dLbl>
          <c:idx val="0"/>
          <c:layout>
            <c:manualLayout>
              <c:x val="-2.1304926764314249E-2"/>
              <c:y val="-3.35664384951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layout>
            <c:manualLayout>
              <c:x val="0"/>
              <c:y val="-1.8648021386196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12416427889206E-2"/>
          <c:y val="0.1081585240399426"/>
          <c:w val="0.8453929863351608"/>
          <c:h val="0.8056194858021013"/>
        </c:manualLayout>
      </c:layout>
      <c:lineChart>
        <c:grouping val="standard"/>
        <c:varyColors val="0"/>
        <c:ser>
          <c:idx val="0"/>
          <c:order val="0"/>
          <c:tx>
            <c:strRef>
              <c:f>Sheet1!$T$3:$T$4</c:f>
              <c:strCache>
                <c:ptCount val="1"/>
                <c:pt idx="0">
                  <c:v>Automatic</c:v>
                </c:pt>
              </c:strCache>
            </c:strRef>
          </c:tx>
          <c:spPr>
            <a:ln w="28575" cap="rnd">
              <a:solidFill>
                <a:srgbClr val="1F4E99"/>
              </a:solidFill>
              <a:round/>
            </a:ln>
            <a:effectLst/>
          </c:spPr>
          <c:marker>
            <c:symbol val="none"/>
          </c:marker>
          <c:dPt>
            <c:idx val="9"/>
            <c:marker>
              <c:symbol val="none"/>
            </c:marker>
            <c:bubble3D val="0"/>
            <c:spPr>
              <a:ln w="28575" cap="rnd">
                <a:solidFill>
                  <a:srgbClr val="1F4E99"/>
                </a:solidFill>
                <a:round/>
              </a:ln>
              <a:effectLst/>
            </c:spPr>
            <c:extLst>
              <c:ext xmlns:c16="http://schemas.microsoft.com/office/drawing/2014/chart" uri="{C3380CC4-5D6E-409C-BE32-E72D297353CC}">
                <c16:uniqueId val="{00000007-0246-4898-8EE9-3CDB5D90FC16}"/>
              </c:ext>
            </c:extLst>
          </c:dPt>
          <c:dPt>
            <c:idx val="12"/>
            <c:marker>
              <c:symbol val="none"/>
            </c:marker>
            <c:bubble3D val="0"/>
            <c:spPr>
              <a:ln w="28575" cap="rnd">
                <a:solidFill>
                  <a:srgbClr val="1F4E99"/>
                </a:solidFill>
                <a:round/>
              </a:ln>
              <a:effectLst/>
            </c:spPr>
            <c:extLst>
              <c:ext xmlns:c16="http://schemas.microsoft.com/office/drawing/2014/chart" uri="{C3380CC4-5D6E-409C-BE32-E72D297353CC}">
                <c16:uniqueId val="{00000008-0246-4898-8EE9-3CDB5D90FC16}"/>
              </c:ext>
            </c:extLst>
          </c:dPt>
          <c:dLbls>
            <c:dLbl>
              <c:idx val="9"/>
              <c:layout>
                <c:manualLayout>
                  <c:x val="0"/>
                  <c:y val="-4.1025647049633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46-4898-8EE9-3CDB5D90FC16}"/>
                </c:ext>
              </c:extLst>
            </c:dLbl>
            <c:dLbl>
              <c:idx val="12"/>
              <c:layout>
                <c:manualLayout>
                  <c:x val="-2.1304926764314249E-2"/>
                  <c:y val="-3.356643849515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46-4898-8EE9-3CDB5D90F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Sheet1!$S$5:$S$20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Sheet1!$T$5:$T$20</c:f>
              <c:numCache>
                <c:formatCode>_ * #,##0_ ;_ * \-#,##0_ ;_ * "-"??_ ;_ @_ </c:formatCode>
                <c:ptCount val="15"/>
                <c:pt idx="0">
                  <c:v>24224</c:v>
                </c:pt>
                <c:pt idx="1">
                  <c:v>22001</c:v>
                </c:pt>
                <c:pt idx="2">
                  <c:v>16308</c:v>
                </c:pt>
                <c:pt idx="3">
                  <c:v>1623</c:v>
                </c:pt>
                <c:pt idx="4">
                  <c:v>18797</c:v>
                </c:pt>
                <c:pt idx="5">
                  <c:v>14042</c:v>
                </c:pt>
                <c:pt idx="6">
                  <c:v>11474</c:v>
                </c:pt>
                <c:pt idx="7">
                  <c:v>14112</c:v>
                </c:pt>
                <c:pt idx="8">
                  <c:v>9759</c:v>
                </c:pt>
                <c:pt idx="9">
                  <c:v>18535</c:v>
                </c:pt>
                <c:pt idx="10">
                  <c:v>18793</c:v>
                </c:pt>
                <c:pt idx="11">
                  <c:v>8387</c:v>
                </c:pt>
                <c:pt idx="12">
                  <c:v>20670</c:v>
                </c:pt>
                <c:pt idx="13">
                  <c:v>11088</c:v>
                </c:pt>
                <c:pt idx="14">
                  <c:v>21614</c:v>
                </c:pt>
              </c:numCache>
            </c:numRef>
          </c:val>
          <c:smooth val="0"/>
          <c:extLst>
            <c:ext xmlns:c16="http://schemas.microsoft.com/office/drawing/2014/chart" uri="{C3380CC4-5D6E-409C-BE32-E72D297353CC}">
              <c16:uniqueId val="{00000000-0246-4898-8EE9-3CDB5D90FC16}"/>
            </c:ext>
          </c:extLst>
        </c:ser>
        <c:ser>
          <c:idx val="1"/>
          <c:order val="1"/>
          <c:tx>
            <c:strRef>
              <c:f>Sheet1!$U$3:$U$4</c:f>
              <c:strCache>
                <c:ptCount val="1"/>
                <c:pt idx="0">
                  <c:v>Manual</c:v>
                </c:pt>
              </c:strCache>
            </c:strRef>
          </c:tx>
          <c:spPr>
            <a:ln w="28575" cap="rnd">
              <a:solidFill>
                <a:srgbClr val="C00000"/>
              </a:solidFill>
              <a:round/>
            </a:ln>
            <a:effectLst/>
          </c:spPr>
          <c:marker>
            <c:symbol val="none"/>
          </c:marker>
          <c:dPt>
            <c:idx val="4"/>
            <c:marker>
              <c:symbol val="none"/>
            </c:marker>
            <c:bubble3D val="0"/>
            <c:spPr>
              <a:ln w="28575" cap="rnd">
                <a:solidFill>
                  <a:srgbClr val="C00000"/>
                </a:solidFill>
                <a:round/>
              </a:ln>
              <a:effectLst/>
            </c:spPr>
            <c:extLst>
              <c:ext xmlns:c16="http://schemas.microsoft.com/office/drawing/2014/chart" uri="{C3380CC4-5D6E-409C-BE32-E72D297353CC}">
                <c16:uniqueId val="{00000005-E973-4D0F-A2AF-CD3A32BE0098}"/>
              </c:ext>
            </c:extLst>
          </c:dPt>
          <c:dPt>
            <c:idx val="7"/>
            <c:marker>
              <c:symbol val="none"/>
            </c:marker>
            <c:bubble3D val="0"/>
            <c:spPr>
              <a:ln w="28575" cap="rnd">
                <a:solidFill>
                  <a:srgbClr val="C00000"/>
                </a:solidFill>
                <a:round/>
              </a:ln>
              <a:effectLst/>
            </c:spPr>
            <c:extLst>
              <c:ext xmlns:c16="http://schemas.microsoft.com/office/drawing/2014/chart" uri="{C3380CC4-5D6E-409C-BE32-E72D297353CC}">
                <c16:uniqueId val="{00000007-E973-4D0F-A2AF-CD3A32BE0098}"/>
              </c:ext>
            </c:extLst>
          </c:dPt>
          <c:dPt>
            <c:idx val="8"/>
            <c:marker>
              <c:symbol val="none"/>
            </c:marker>
            <c:bubble3D val="0"/>
            <c:spPr>
              <a:ln w="28575" cap="rnd">
                <a:solidFill>
                  <a:srgbClr val="C00000"/>
                </a:solidFill>
                <a:round/>
              </a:ln>
              <a:effectLst/>
            </c:spPr>
            <c:extLst>
              <c:ext xmlns:c16="http://schemas.microsoft.com/office/drawing/2014/chart" uri="{C3380CC4-5D6E-409C-BE32-E72D297353CC}">
                <c16:uniqueId val="{00000009-E973-4D0F-A2AF-CD3A32BE0098}"/>
              </c:ext>
            </c:extLst>
          </c:dPt>
          <c:dLbls>
            <c:dLbl>
              <c:idx val="4"/>
              <c:layout>
                <c:manualLayout>
                  <c:x val="-5.4570259208731571E-3"/>
                  <c:y val="-3.3566438495154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73-4D0F-A2AF-CD3A32BE0098}"/>
                </c:ext>
              </c:extLst>
            </c:dLbl>
            <c:dLbl>
              <c:idx val="7"/>
              <c:layout>
                <c:manualLayout>
                  <c:x val="-5.457025920873191E-3"/>
                  <c:y val="1.49184171089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73-4D0F-A2AF-CD3A32BE0098}"/>
                </c:ext>
              </c:extLst>
            </c:dLbl>
            <c:dLbl>
              <c:idx val="8"/>
              <c:layout>
                <c:manualLayout>
                  <c:x val="0"/>
                  <c:y val="-1.8648021386196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73-4D0F-A2AF-CD3A32BE00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Sheet1!$S$5:$S$20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Sheet1!$U$5:$U$20</c:f>
              <c:numCache>
                <c:formatCode>_ * #,##0_ ;_ * \-#,##0_ ;_ * "-"??_ ;_ @_ </c:formatCode>
                <c:ptCount val="15"/>
                <c:pt idx="0">
                  <c:v>12764</c:v>
                </c:pt>
                <c:pt idx="1">
                  <c:v>14559</c:v>
                </c:pt>
                <c:pt idx="2">
                  <c:v>11876</c:v>
                </c:pt>
                <c:pt idx="3">
                  <c:v>28264</c:v>
                </c:pt>
                <c:pt idx="4">
                  <c:v>18847</c:v>
                </c:pt>
                <c:pt idx="5">
                  <c:v>15390</c:v>
                </c:pt>
                <c:pt idx="6">
                  <c:v>19152</c:v>
                </c:pt>
                <c:pt idx="7">
                  <c:v>13314</c:v>
                </c:pt>
                <c:pt idx="8">
                  <c:v>18717</c:v>
                </c:pt>
                <c:pt idx="9">
                  <c:v>22890</c:v>
                </c:pt>
                <c:pt idx="10">
                  <c:v>6079</c:v>
                </c:pt>
                <c:pt idx="11">
                  <c:v>26409</c:v>
                </c:pt>
                <c:pt idx="12">
                  <c:v>12967</c:v>
                </c:pt>
                <c:pt idx="13">
                  <c:v>21139</c:v>
                </c:pt>
                <c:pt idx="14">
                  <c:v>6484</c:v>
                </c:pt>
              </c:numCache>
            </c:numRef>
          </c:val>
          <c:smooth val="0"/>
          <c:extLst>
            <c:ext xmlns:c16="http://schemas.microsoft.com/office/drawing/2014/chart" uri="{C3380CC4-5D6E-409C-BE32-E72D297353CC}">
              <c16:uniqueId val="{00000011-6A8B-4A28-AC1F-4CB47BD34036}"/>
            </c:ext>
          </c:extLst>
        </c:ser>
        <c:dLbls>
          <c:showLegendKey val="0"/>
          <c:showVal val="1"/>
          <c:showCatName val="0"/>
          <c:showSerName val="0"/>
          <c:showPercent val="0"/>
          <c:showBubbleSize val="0"/>
        </c:dLbls>
        <c:smooth val="0"/>
        <c:axId val="402545759"/>
        <c:axId val="402539519"/>
      </c:lineChart>
      <c:catAx>
        <c:axId val="40254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39519"/>
        <c:crosses val="autoZero"/>
        <c:auto val="1"/>
        <c:lblAlgn val="ctr"/>
        <c:lblOffset val="100"/>
        <c:noMultiLvlLbl val="0"/>
      </c:catAx>
      <c:valAx>
        <c:axId val="402539519"/>
        <c:scaling>
          <c:orientation val="minMax"/>
        </c:scaling>
        <c:delete val="1"/>
        <c:axPos val="l"/>
        <c:numFmt formatCode="_ * #,##0_ ;_ * \-#,##0_ ;_ * &quot;-&quot;??_ ;_ @_ " sourceLinked="1"/>
        <c:majorTickMark val="none"/>
        <c:minorTickMark val="none"/>
        <c:tickLblPos val="nextTo"/>
        <c:crossAx val="40254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Impact of Engine Size on BMW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20390850020167E-3"/>
          <c:y val="0.1152588876190387"/>
          <c:w val="0.9954118375652482"/>
          <c:h val="0.80923188231179277"/>
        </c:manualLayout>
      </c:layout>
      <c:barChart>
        <c:barDir val="col"/>
        <c:grouping val="clustered"/>
        <c:varyColors val="0"/>
        <c:ser>
          <c:idx val="0"/>
          <c:order val="0"/>
          <c:tx>
            <c:strRef>
              <c:f>Sheet1!$Y$3</c:f>
              <c:strCache>
                <c:ptCount val="1"/>
                <c:pt idx="0">
                  <c:v>Total</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Sheet1!$X$4:$X$7</c:f>
              <c:strCache>
                <c:ptCount val="3"/>
                <c:pt idx="0">
                  <c:v>3</c:v>
                </c:pt>
                <c:pt idx="1">
                  <c:v>2</c:v>
                </c:pt>
                <c:pt idx="2">
                  <c:v>2.5</c:v>
                </c:pt>
              </c:strCache>
            </c:strRef>
          </c:cat>
          <c:val>
            <c:numRef>
              <c:f>Sheet1!$Y$4:$Y$7</c:f>
              <c:numCache>
                <c:formatCode>_ * #,##0_ ;_ * \-#,##0_ ;_ * "-"??_ ;_ @_ </c:formatCode>
                <c:ptCount val="3"/>
                <c:pt idx="0">
                  <c:v>128559</c:v>
                </c:pt>
                <c:pt idx="1">
                  <c:v>162865</c:v>
                </c:pt>
                <c:pt idx="2">
                  <c:v>188854</c:v>
                </c:pt>
              </c:numCache>
            </c:numRef>
          </c:val>
          <c:extLst>
            <c:ext xmlns:c16="http://schemas.microsoft.com/office/drawing/2014/chart" uri="{C3380CC4-5D6E-409C-BE32-E72D297353CC}">
              <c16:uniqueId val="{00000000-3FB8-45C9-8435-683307E25E66}"/>
            </c:ext>
          </c:extLst>
        </c:ser>
        <c:dLbls>
          <c:dLblPos val="outEnd"/>
          <c:showLegendKey val="0"/>
          <c:showVal val="1"/>
          <c:showCatName val="0"/>
          <c:showSerName val="0"/>
          <c:showPercent val="0"/>
          <c:showBubbleSize val="0"/>
        </c:dLbls>
        <c:gapWidth val="219"/>
        <c:overlap val="-27"/>
        <c:axId val="593306047"/>
        <c:axId val="593312767"/>
      </c:barChart>
      <c:catAx>
        <c:axId val="5933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312767"/>
        <c:crosses val="autoZero"/>
        <c:auto val="1"/>
        <c:lblAlgn val="ctr"/>
        <c:lblOffset val="100"/>
        <c:noMultiLvlLbl val="0"/>
      </c:catAx>
      <c:valAx>
        <c:axId val="593312767"/>
        <c:scaling>
          <c:orientation val="minMax"/>
        </c:scaling>
        <c:delete val="1"/>
        <c:axPos val="l"/>
        <c:numFmt formatCode="_ * #,##0_ ;_ * \-#,##0_ ;_ * &quot;-&quot;??_ ;_ @_ " sourceLinked="1"/>
        <c:majorTickMark val="none"/>
        <c:minorTickMark val="none"/>
        <c:tickLblPos val="nextTo"/>
        <c:crossAx val="5933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Key Characteristics of High-Sales BMW Models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FE2"/>
          </a:solidFill>
          <a:ln>
            <a:solidFill>
              <a:srgbClr val="00AFE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60270602706028E-2"/>
          <c:y val="9.5743914363645724E-2"/>
          <c:w val="0.96693887490867769"/>
          <c:h val="0.76987876515435572"/>
        </c:manualLayout>
      </c:layout>
      <c:barChart>
        <c:barDir val="col"/>
        <c:grouping val="clustered"/>
        <c:varyColors val="0"/>
        <c:ser>
          <c:idx val="0"/>
          <c:order val="0"/>
          <c:tx>
            <c:strRef>
              <c:f>Sheet1!$AF$3:$AF$4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Sheet1!$AF$5:$AF$9</c:f>
              <c:numCache>
                <c:formatCode>General</c:formatCode>
                <c:ptCount val="4"/>
                <c:pt idx="0">
                  <c:v>11</c:v>
                </c:pt>
                <c:pt idx="1">
                  <c:v>21</c:v>
                </c:pt>
                <c:pt idx="2">
                  <c:v>16</c:v>
                </c:pt>
                <c:pt idx="3">
                  <c:v>10</c:v>
                </c:pt>
              </c:numCache>
            </c:numRef>
          </c:val>
          <c:extLst>
            <c:ext xmlns:c16="http://schemas.microsoft.com/office/drawing/2014/chart" uri="{C3380CC4-5D6E-409C-BE32-E72D297353CC}">
              <c16:uniqueId val="{00000000-AD68-4320-AE09-09FDCEB8D3D8}"/>
            </c:ext>
          </c:extLst>
        </c:ser>
        <c:ser>
          <c:idx val="1"/>
          <c:order val="1"/>
          <c:tx>
            <c:strRef>
              <c:f>Sheet1!$AG$3:$AG$4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Sheet1!$AG$5:$AG$9</c:f>
              <c:numCache>
                <c:formatCode>General</c:formatCode>
                <c:ptCount val="4"/>
                <c:pt idx="0">
                  <c:v>19</c:v>
                </c:pt>
                <c:pt idx="1">
                  <c:v>10</c:v>
                </c:pt>
                <c:pt idx="2">
                  <c:v>15</c:v>
                </c:pt>
                <c:pt idx="3">
                  <c:v>18</c:v>
                </c:pt>
              </c:numCache>
            </c:numRef>
          </c:val>
          <c:extLst>
            <c:ext xmlns:c16="http://schemas.microsoft.com/office/drawing/2014/chart" uri="{C3380CC4-5D6E-409C-BE32-E72D297353CC}">
              <c16:uniqueId val="{0000000E-8C01-4680-9C65-1CFC2AAF858E}"/>
            </c:ext>
          </c:extLst>
        </c:ser>
        <c:ser>
          <c:idx val="2"/>
          <c:order val="2"/>
          <c:tx>
            <c:strRef>
              <c:f>Sheet1!$AH$3:$AH$4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Sheet1!$AH$5:$AH$9</c:f>
              <c:numCache>
                <c:formatCode>General</c:formatCode>
                <c:ptCount val="4"/>
                <c:pt idx="0">
                  <c:v>16</c:v>
                </c:pt>
                <c:pt idx="1">
                  <c:v>12</c:v>
                </c:pt>
                <c:pt idx="2">
                  <c:v>18</c:v>
                </c:pt>
                <c:pt idx="3">
                  <c:v>14</c:v>
                </c:pt>
              </c:numCache>
            </c:numRef>
          </c:val>
          <c:extLst>
            <c:ext xmlns:c16="http://schemas.microsoft.com/office/drawing/2014/chart" uri="{C3380CC4-5D6E-409C-BE32-E72D297353CC}">
              <c16:uniqueId val="{00000012-8C01-4680-9C65-1CFC2AAF858E}"/>
            </c:ext>
          </c:extLst>
        </c:ser>
        <c:dLbls>
          <c:dLblPos val="outEnd"/>
          <c:showLegendKey val="0"/>
          <c:showVal val="1"/>
          <c:showCatName val="0"/>
          <c:showSerName val="0"/>
          <c:showPercent val="0"/>
          <c:showBubbleSize val="0"/>
        </c:dLbls>
        <c:gapWidth val="219"/>
        <c:overlap val="-27"/>
        <c:axId val="1044008463"/>
        <c:axId val="1044008943"/>
      </c:barChart>
      <c:catAx>
        <c:axId val="104400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4008943"/>
        <c:crosses val="autoZero"/>
        <c:auto val="1"/>
        <c:lblAlgn val="ctr"/>
        <c:lblOffset val="100"/>
        <c:noMultiLvlLbl val="0"/>
      </c:catAx>
      <c:valAx>
        <c:axId val="1044008943"/>
        <c:scaling>
          <c:orientation val="minMax"/>
        </c:scaling>
        <c:delete val="1"/>
        <c:axPos val="l"/>
        <c:numFmt formatCode="General" sourceLinked="1"/>
        <c:majorTickMark val="none"/>
        <c:minorTickMark val="none"/>
        <c:tickLblPos val="nextTo"/>
        <c:crossAx val="1044008463"/>
        <c:crosses val="autoZero"/>
        <c:crossBetween val="between"/>
      </c:valAx>
      <c:spPr>
        <a:noFill/>
        <a:ln>
          <a:noFill/>
        </a:ln>
        <a:effectLst/>
      </c:spPr>
    </c:plotArea>
    <c:legend>
      <c:legendPos val="t"/>
      <c:layout>
        <c:manualLayout>
          <c:xMode val="edge"/>
          <c:yMode val="edge"/>
          <c:x val="0.430584363483062"/>
          <c:y val="0.10198300283286119"/>
          <c:w val="0.19821203728844239"/>
          <c:h val="6.30256512053640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project.xlsx]Sheet1!PivotTable2</c:name>
    <c:fmtId val="1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pivotFmt>
      <c:pivotFmt>
        <c:idx val="5"/>
        <c:spPr>
          <a:ln w="28575" cap="rnd">
            <a:solidFill>
              <a:schemeClr val="accent3"/>
            </a:solidFill>
            <a:round/>
          </a:ln>
          <a:effectLst/>
        </c:spPr>
        <c:marker>
          <c:symbol val="none"/>
        </c:marker>
      </c:pivotFmt>
      <c:pivotFmt>
        <c:idx val="6"/>
        <c:spPr>
          <a:ln w="28575" cap="rnd">
            <a:solidFill>
              <a:schemeClr val="accent3"/>
            </a:solidFill>
            <a:round/>
          </a:ln>
          <a:effectLst/>
        </c:spPr>
        <c:marker>
          <c:symbol val="none"/>
        </c:marker>
      </c:pivotFmt>
    </c:pivotFmts>
    <c:plotArea>
      <c:layout>
        <c:manualLayout>
          <c:layoutTarget val="inner"/>
          <c:xMode val="edge"/>
          <c:yMode val="edge"/>
          <c:x val="3.5025371828521439E-2"/>
          <c:y val="0.14249781277340332"/>
          <c:w val="0.79627952755905507"/>
          <c:h val="0.72519685039370074"/>
        </c:manualLayout>
      </c:layout>
      <c:lineChart>
        <c:grouping val="standard"/>
        <c:varyColors val="0"/>
        <c:ser>
          <c:idx val="0"/>
          <c:order val="0"/>
          <c:tx>
            <c:strRef>
              <c:f>Sheet1!$I$3:$I$4</c:f>
              <c:strCache>
                <c:ptCount val="1"/>
                <c:pt idx="0">
                  <c:v>Diesel</c:v>
                </c:pt>
              </c:strCache>
            </c:strRef>
          </c:tx>
          <c:spPr>
            <a:ln w="28575" cap="rnd">
              <a:solidFill>
                <a:schemeClr val="accent1"/>
              </a:solidFill>
              <a:round/>
            </a:ln>
            <a:effectLst/>
          </c:spPr>
          <c:marker>
            <c:symbol val="none"/>
          </c:marker>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Sheet1!$I$5:$I$20</c:f>
              <c:numCache>
                <c:formatCode>0</c:formatCode>
                <c:ptCount val="15"/>
                <c:pt idx="0">
                  <c:v>3877</c:v>
                </c:pt>
                <c:pt idx="1">
                  <c:v>3724.6</c:v>
                </c:pt>
                <c:pt idx="2">
                  <c:v>1734</c:v>
                </c:pt>
                <c:pt idx="3">
                  <c:v>3390.5</c:v>
                </c:pt>
                <c:pt idx="4">
                  <c:v>3840.5</c:v>
                </c:pt>
                <c:pt idx="5">
                  <c:v>2861.75</c:v>
                </c:pt>
                <c:pt idx="6">
                  <c:v>4386.666666666667</c:v>
                </c:pt>
                <c:pt idx="7">
                  <c:v>896.25</c:v>
                </c:pt>
                <c:pt idx="8">
                  <c:v>2233.5714285714284</c:v>
                </c:pt>
                <c:pt idx="9">
                  <c:v>3165.5</c:v>
                </c:pt>
                <c:pt idx="10">
                  <c:v>712</c:v>
                </c:pt>
                <c:pt idx="11">
                  <c:v>4684</c:v>
                </c:pt>
                <c:pt idx="12">
                  <c:v>3233.3333333333335</c:v>
                </c:pt>
                <c:pt idx="13">
                  <c:v>2773.2</c:v>
                </c:pt>
                <c:pt idx="14">
                  <c:v>1843.5</c:v>
                </c:pt>
              </c:numCache>
            </c:numRef>
          </c:val>
          <c:smooth val="0"/>
          <c:extLst>
            <c:ext xmlns:c16="http://schemas.microsoft.com/office/drawing/2014/chart" uri="{C3380CC4-5D6E-409C-BE32-E72D297353CC}">
              <c16:uniqueId val="{00000000-7CD8-4751-9A06-9B6FBB0385C7}"/>
            </c:ext>
          </c:extLst>
        </c:ser>
        <c:ser>
          <c:idx val="1"/>
          <c:order val="1"/>
          <c:tx>
            <c:strRef>
              <c:f>Sheet1!$J$3:$J$4</c:f>
              <c:strCache>
                <c:ptCount val="1"/>
                <c:pt idx="0">
                  <c:v>Electric</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33AE-43A7-BD81-FC448EAAD715}"/>
              </c:ext>
            </c:extLst>
          </c:dPt>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Sheet1!$J$5:$J$20</c:f>
              <c:numCache>
                <c:formatCode>0</c:formatCode>
                <c:ptCount val="15"/>
                <c:pt idx="0">
                  <c:v>2425.4</c:v>
                </c:pt>
                <c:pt idx="1">
                  <c:v>2554.1999999999998</c:v>
                </c:pt>
                <c:pt idx="2">
                  <c:v>2077.1999999999998</c:v>
                </c:pt>
                <c:pt idx="3">
                  <c:v>3169</c:v>
                </c:pt>
                <c:pt idx="4">
                  <c:v>2882.5</c:v>
                </c:pt>
                <c:pt idx="5">
                  <c:v>4025</c:v>
                </c:pt>
                <c:pt idx="6">
                  <c:v>519</c:v>
                </c:pt>
                <c:pt idx="7">
                  <c:v>2416</c:v>
                </c:pt>
                <c:pt idx="8">
                  <c:v>2416</c:v>
                </c:pt>
                <c:pt idx="9">
                  <c:v>2721.5</c:v>
                </c:pt>
                <c:pt idx="10">
                  <c:v>2550</c:v>
                </c:pt>
                <c:pt idx="11">
                  <c:v>2858</c:v>
                </c:pt>
                <c:pt idx="12">
                  <c:v>2521.75</c:v>
                </c:pt>
                <c:pt idx="13">
                  <c:v>1240</c:v>
                </c:pt>
                <c:pt idx="14">
                  <c:v>2156.75</c:v>
                </c:pt>
              </c:numCache>
            </c:numRef>
          </c:val>
          <c:smooth val="0"/>
          <c:extLst>
            <c:ext xmlns:c16="http://schemas.microsoft.com/office/drawing/2014/chart" uri="{C3380CC4-5D6E-409C-BE32-E72D297353CC}">
              <c16:uniqueId val="{00000012-5A44-414F-B85F-CDA18957580E}"/>
            </c:ext>
          </c:extLst>
        </c:ser>
        <c:ser>
          <c:idx val="2"/>
          <c:order val="2"/>
          <c:tx>
            <c:strRef>
              <c:f>Sheet1!$K$3:$K$4</c:f>
              <c:strCache>
                <c:ptCount val="1"/>
                <c:pt idx="0">
                  <c:v>Hybrid</c:v>
                </c:pt>
              </c:strCache>
            </c:strRef>
          </c:tx>
          <c:spPr>
            <a:ln w="28575" cap="rnd">
              <a:solidFill>
                <a:schemeClr val="accent3"/>
              </a:solidFill>
              <a:round/>
            </a:ln>
            <a:effectLst/>
          </c:spPr>
          <c:marker>
            <c:symbol val="none"/>
          </c:marker>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03-33AE-43A7-BD81-FC448EAAD715}"/>
              </c:ext>
            </c:extLst>
          </c:dPt>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Sheet1!$K$5:$K$20</c:f>
              <c:numCache>
                <c:formatCode>0</c:formatCode>
                <c:ptCount val="15"/>
                <c:pt idx="0">
                  <c:v>3139.3333333333335</c:v>
                </c:pt>
                <c:pt idx="1">
                  <c:v>2416</c:v>
                </c:pt>
                <c:pt idx="2">
                  <c:v>3065.6666666666665</c:v>
                </c:pt>
                <c:pt idx="3">
                  <c:v>1521.3333333333333</c:v>
                </c:pt>
                <c:pt idx="4">
                  <c:v>3138.2</c:v>
                </c:pt>
                <c:pt idx="5">
                  <c:v>1561.6666666666667</c:v>
                </c:pt>
                <c:pt idx="6">
                  <c:v>2897.25</c:v>
                </c:pt>
                <c:pt idx="7">
                  <c:v>3028</c:v>
                </c:pt>
                <c:pt idx="8">
                  <c:v>2568.1999999999998</c:v>
                </c:pt>
                <c:pt idx="9">
                  <c:v>4214</c:v>
                </c:pt>
                <c:pt idx="10">
                  <c:v>2213.6</c:v>
                </c:pt>
                <c:pt idx="11">
                  <c:v>1976</c:v>
                </c:pt>
                <c:pt idx="12">
                  <c:v>2590</c:v>
                </c:pt>
                <c:pt idx="13">
                  <c:v>2416</c:v>
                </c:pt>
                <c:pt idx="14">
                  <c:v>3264.6666666666665</c:v>
                </c:pt>
              </c:numCache>
            </c:numRef>
          </c:val>
          <c:smooth val="0"/>
          <c:extLst>
            <c:ext xmlns:c16="http://schemas.microsoft.com/office/drawing/2014/chart" uri="{C3380CC4-5D6E-409C-BE32-E72D297353CC}">
              <c16:uniqueId val="{0000001D-5A44-414F-B85F-CDA18957580E}"/>
            </c:ext>
          </c:extLst>
        </c:ser>
        <c:ser>
          <c:idx val="3"/>
          <c:order val="3"/>
          <c:tx>
            <c:strRef>
              <c:f>Sheet1!$L$3:$L$4</c:f>
              <c:strCache>
                <c:ptCount val="1"/>
                <c:pt idx="0">
                  <c:v>Petrol</c:v>
                </c:pt>
              </c:strCache>
            </c:strRef>
          </c:tx>
          <c:spPr>
            <a:ln w="28575" cap="rnd">
              <a:solidFill>
                <a:schemeClr val="accent4"/>
              </a:solidFill>
              <a:round/>
            </a:ln>
            <a:effectLst/>
          </c:spPr>
          <c:marker>
            <c:symbol val="none"/>
          </c:marker>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Sheet1!$L$5:$L$20</c:f>
              <c:numCache>
                <c:formatCode>0</c:formatCode>
                <c:ptCount val="15"/>
                <c:pt idx="0">
                  <c:v>3855.3333333333335</c:v>
                </c:pt>
                <c:pt idx="1">
                  <c:v>2583</c:v>
                </c:pt>
                <c:pt idx="2">
                  <c:v>2566.5</c:v>
                </c:pt>
                <c:pt idx="3">
                  <c:v>2258.75</c:v>
                </c:pt>
                <c:pt idx="4">
                  <c:v>2835.6666666666665</c:v>
                </c:pt>
                <c:pt idx="5">
                  <c:v>2318.75</c:v>
                </c:pt>
                <c:pt idx="6">
                  <c:v>1613</c:v>
                </c:pt>
                <c:pt idx="7">
                  <c:v>2932.25</c:v>
                </c:pt>
                <c:pt idx="8">
                  <c:v>2416</c:v>
                </c:pt>
                <c:pt idx="9">
                  <c:v>3232</c:v>
                </c:pt>
                <c:pt idx="10">
                  <c:v>1446</c:v>
                </c:pt>
                <c:pt idx="11">
                  <c:v>3188</c:v>
                </c:pt>
                <c:pt idx="12">
                  <c:v>3490</c:v>
                </c:pt>
                <c:pt idx="13">
                  <c:v>3176.2</c:v>
                </c:pt>
                <c:pt idx="14">
                  <c:v>1996.6666666666667</c:v>
                </c:pt>
              </c:numCache>
            </c:numRef>
          </c:val>
          <c:smooth val="0"/>
          <c:extLst>
            <c:ext xmlns:c16="http://schemas.microsoft.com/office/drawing/2014/chart" uri="{C3380CC4-5D6E-409C-BE32-E72D297353CC}">
              <c16:uniqueId val="{0000001E-5A44-414F-B85F-CDA18957580E}"/>
            </c:ext>
          </c:extLst>
        </c:ser>
        <c:dLbls>
          <c:showLegendKey val="0"/>
          <c:showVal val="0"/>
          <c:showCatName val="0"/>
          <c:showSerName val="0"/>
          <c:showPercent val="0"/>
          <c:showBubbleSize val="0"/>
        </c:dLbls>
        <c:smooth val="0"/>
        <c:axId val="1637422319"/>
        <c:axId val="1637421359"/>
      </c:lineChart>
      <c:catAx>
        <c:axId val="163742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21359"/>
        <c:crosses val="autoZero"/>
        <c:auto val="1"/>
        <c:lblAlgn val="ctr"/>
        <c:lblOffset val="100"/>
        <c:noMultiLvlLbl val="0"/>
      </c:catAx>
      <c:valAx>
        <c:axId val="1637421359"/>
        <c:scaling>
          <c:orientation val="minMax"/>
        </c:scaling>
        <c:delete val="1"/>
        <c:axPos val="l"/>
        <c:numFmt formatCode="0" sourceLinked="1"/>
        <c:majorTickMark val="out"/>
        <c:minorTickMark val="none"/>
        <c:tickLblPos val="nextTo"/>
        <c:crossAx val="16374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Impact of Engine Size on BMW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21603068846988E-4"/>
          <c:y val="0.12178093591959542"/>
          <c:w val="0.99918978396931157"/>
          <c:h val="0.79718423916522629"/>
        </c:manualLayout>
      </c:layout>
      <c:barChart>
        <c:barDir val="col"/>
        <c:grouping val="clustered"/>
        <c:varyColors val="0"/>
        <c:ser>
          <c:idx val="0"/>
          <c:order val="0"/>
          <c:tx>
            <c:strRef>
              <c:f>Sheet1!$Y$3</c:f>
              <c:strCache>
                <c:ptCount val="1"/>
                <c:pt idx="0">
                  <c:v>Total</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Sheet1!$X$4:$X$7</c:f>
              <c:strCache>
                <c:ptCount val="3"/>
                <c:pt idx="0">
                  <c:v>3</c:v>
                </c:pt>
                <c:pt idx="1">
                  <c:v>2</c:v>
                </c:pt>
                <c:pt idx="2">
                  <c:v>2.5</c:v>
                </c:pt>
              </c:strCache>
            </c:strRef>
          </c:cat>
          <c:val>
            <c:numRef>
              <c:f>Sheet1!$Y$4:$Y$7</c:f>
              <c:numCache>
                <c:formatCode>_ * #,##0_ ;_ * \-#,##0_ ;_ * "-"??_ ;_ @_ </c:formatCode>
                <c:ptCount val="3"/>
                <c:pt idx="0">
                  <c:v>128559</c:v>
                </c:pt>
                <c:pt idx="1">
                  <c:v>162865</c:v>
                </c:pt>
                <c:pt idx="2">
                  <c:v>188854</c:v>
                </c:pt>
              </c:numCache>
            </c:numRef>
          </c:val>
          <c:extLst>
            <c:ext xmlns:c16="http://schemas.microsoft.com/office/drawing/2014/chart" uri="{C3380CC4-5D6E-409C-BE32-E72D297353CC}">
              <c16:uniqueId val="{00000000-8942-4585-9347-CD8BDAD276D0}"/>
            </c:ext>
          </c:extLst>
        </c:ser>
        <c:dLbls>
          <c:dLblPos val="outEnd"/>
          <c:showLegendKey val="0"/>
          <c:showVal val="1"/>
          <c:showCatName val="0"/>
          <c:showSerName val="0"/>
          <c:showPercent val="0"/>
          <c:showBubbleSize val="0"/>
        </c:dLbls>
        <c:gapWidth val="219"/>
        <c:overlap val="-27"/>
        <c:axId val="593306047"/>
        <c:axId val="593312767"/>
      </c:barChart>
      <c:catAx>
        <c:axId val="5933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312767"/>
        <c:crosses val="autoZero"/>
        <c:auto val="1"/>
        <c:lblAlgn val="ctr"/>
        <c:lblOffset val="100"/>
        <c:noMultiLvlLbl val="0"/>
      </c:catAx>
      <c:valAx>
        <c:axId val="593312767"/>
        <c:scaling>
          <c:orientation val="minMax"/>
        </c:scaling>
        <c:delete val="1"/>
        <c:axPos val="l"/>
        <c:numFmt formatCode="_ * #,##0_ ;_ * \-#,##0_ ;_ * &quot;-&quot;??_ ;_ @_ " sourceLinked="1"/>
        <c:majorTickMark val="none"/>
        <c:minorTickMark val="none"/>
        <c:tickLblPos val="nextTo"/>
        <c:crossAx val="5933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t>Transmission Preference Trends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layout>
            <c:manualLayout>
              <c:x val="-5.4570259208731571E-3"/>
              <c:y val="-3.3566438495154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layout>
            <c:manualLayout>
              <c:x val="-5.457025920873191E-3"/>
              <c:y val="1.491841710895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F4E99"/>
            </a:solidFill>
            <a:round/>
          </a:ln>
          <a:effectLst/>
        </c:spPr>
        <c:marker>
          <c:symbol val="none"/>
        </c:marker>
        <c:dLbl>
          <c:idx val="0"/>
          <c:layout>
            <c:manualLayout>
              <c:x val="0"/>
              <c:y val="-4.1025647049633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F4E99"/>
            </a:solidFill>
            <a:round/>
          </a:ln>
          <a:effectLst/>
        </c:spPr>
        <c:marker>
          <c:symbol val="none"/>
        </c:marker>
        <c:dLbl>
          <c:idx val="0"/>
          <c:layout>
            <c:manualLayout>
              <c:x val="-2.1304926764314249E-2"/>
              <c:y val="-3.35664384951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layout>
            <c:manualLayout>
              <c:x val="0"/>
              <c:y val="-1.8648021386196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1F4E99"/>
            </a:solidFill>
            <a:round/>
          </a:ln>
          <a:effectLst/>
        </c:spPr>
        <c:marker>
          <c:symbol val="none"/>
        </c:marker>
        <c:dLbl>
          <c:idx val="0"/>
          <c:layout>
            <c:manualLayout>
              <c:x val="0"/>
              <c:y val="-4.1025647049633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1F4E99"/>
            </a:solidFill>
            <a:round/>
          </a:ln>
          <a:effectLst/>
        </c:spPr>
        <c:marker>
          <c:symbol val="none"/>
        </c:marker>
        <c:dLbl>
          <c:idx val="0"/>
          <c:layout>
            <c:manualLayout>
              <c:x val="-2.1304926764314249E-2"/>
              <c:y val="-3.35664384951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C00000"/>
            </a:solidFill>
            <a:round/>
          </a:ln>
          <a:effectLst/>
        </c:spPr>
        <c:marker>
          <c:symbol val="none"/>
        </c:marker>
        <c:dLbl>
          <c:idx val="0"/>
          <c:layout>
            <c:manualLayout>
              <c:x val="-5.4570259208731571E-3"/>
              <c:y val="-3.3566438495154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00000"/>
            </a:solidFill>
            <a:round/>
          </a:ln>
          <a:effectLst/>
        </c:spPr>
        <c:marker>
          <c:symbol val="none"/>
        </c:marker>
        <c:dLbl>
          <c:idx val="0"/>
          <c:layout>
            <c:manualLayout>
              <c:x val="-5.457025920873191E-3"/>
              <c:y val="1.491841710895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C00000"/>
            </a:solidFill>
            <a:round/>
          </a:ln>
          <a:effectLst/>
        </c:spPr>
        <c:marker>
          <c:symbol val="none"/>
        </c:marker>
        <c:dLbl>
          <c:idx val="0"/>
          <c:layout>
            <c:manualLayout>
              <c:x val="0"/>
              <c:y val="-1.8648021386196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1F4E99"/>
            </a:solidFill>
            <a:round/>
          </a:ln>
          <a:effectLst/>
        </c:spPr>
        <c:marker>
          <c:symbol val="none"/>
        </c:marker>
      </c:pivotFmt>
      <c:pivotFmt>
        <c:idx val="18"/>
        <c:spPr>
          <a:ln w="28575" cap="rnd">
            <a:solidFill>
              <a:srgbClr val="1F4E99"/>
            </a:solidFill>
            <a:round/>
          </a:ln>
          <a:effectLst/>
        </c:spPr>
        <c:marker>
          <c:symbol val="none"/>
        </c:marker>
      </c:pivotFmt>
      <c:pivotFmt>
        <c:idx val="1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C00000"/>
            </a:solidFill>
            <a:round/>
          </a:ln>
          <a:effectLst/>
        </c:spPr>
        <c:marker>
          <c:symbol val="none"/>
        </c:marker>
        <c:dLbl>
          <c:idx val="0"/>
          <c:layout>
            <c:manualLayout>
              <c:x val="-2.1922394835780664E-3"/>
              <c:y val="-2.3248768320216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C00000"/>
            </a:solidFill>
            <a:round/>
          </a:ln>
          <a:effectLst/>
        </c:spPr>
        <c:marker>
          <c:symbol val="none"/>
        </c:marker>
        <c:dLbl>
          <c:idx val="0"/>
          <c:layout>
            <c:manualLayout>
              <c:x val="-5.9849897141235724E-2"/>
              <c:y val="4.4476121976793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C00000"/>
            </a:solidFill>
            <a:round/>
          </a:ln>
          <a:effectLst/>
        </c:spPr>
        <c:marker>
          <c:symbol val="none"/>
        </c:marker>
      </c:pivotFmt>
      <c:pivotFmt>
        <c:idx val="23"/>
        <c:spPr>
          <a:ln w="28575" cap="rnd">
            <a:solidFill>
              <a:srgbClr val="C00000"/>
            </a:solidFill>
            <a:round/>
          </a:ln>
          <a:effectLst/>
        </c:spPr>
        <c:marker>
          <c:symbol val="none"/>
        </c:marker>
        <c:dLbl>
          <c:idx val="0"/>
          <c:layout>
            <c:manualLayout>
              <c:x val="-5.2642689934028514E-2"/>
              <c:y val="2.331209375897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1F4E99"/>
            </a:solidFill>
            <a:round/>
          </a:ln>
          <a:effectLst/>
        </c:spPr>
        <c:marker>
          <c:symbol val="none"/>
        </c:marker>
        <c:dLbl>
          <c:idx val="0"/>
          <c:layout>
            <c:manualLayout>
              <c:x val="-5.5045092336430922E-2"/>
              <c:y val="2.7544899402541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1F4E99"/>
            </a:solidFill>
            <a:round/>
          </a:ln>
          <a:effectLst/>
        </c:spPr>
        <c:marker>
          <c:symbol val="none"/>
        </c:marker>
        <c:dLbl>
          <c:idx val="0"/>
          <c:layout>
            <c:manualLayout>
              <c:x val="-4.7165212456550948E-2"/>
              <c:y val="3.6010510689667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C00000"/>
            </a:solidFill>
            <a:round/>
          </a:ln>
          <a:effectLst/>
        </c:spPr>
        <c:marker>
          <c:symbol val="none"/>
        </c:marker>
        <c:dLbl>
          <c:idx val="0"/>
          <c:layout>
            <c:manualLayout>
              <c:x val="-5.4372419663758248E-2"/>
              <c:y val="2.3312093758977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1F4E99"/>
            </a:solidFill>
            <a:round/>
          </a:ln>
          <a:effectLst/>
        </c:spPr>
        <c:marker>
          <c:symbol val="none"/>
        </c:marker>
        <c:dLbl>
          <c:idx val="0"/>
          <c:layout>
            <c:manualLayout>
              <c:x val="-9.3483530774869358E-2"/>
              <c:y val="-1.0550351389526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1F4E99"/>
            </a:solidFill>
            <a:round/>
          </a:ln>
          <a:effectLst/>
        </c:spPr>
        <c:marker>
          <c:symbol val="none"/>
        </c:marker>
        <c:dLbl>
          <c:idx val="0"/>
          <c:layout>
            <c:manualLayout>
              <c:x val="-4.4762810054148637E-2"/>
              <c:y val="1.9079288115414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1F4E99"/>
            </a:solidFill>
            <a:round/>
          </a:ln>
          <a:effectLst/>
        </c:spPr>
        <c:marker>
          <c:symbol val="none"/>
        </c:marker>
        <c:dLbl>
          <c:idx val="0"/>
          <c:layout>
            <c:manualLayout>
              <c:x val="-7.4264311555650137E-2"/>
              <c:y val="3.1777705046104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C00000"/>
            </a:solidFill>
            <a:round/>
          </a:ln>
          <a:effectLst/>
        </c:spPr>
        <c:marker>
          <c:symbol val="none"/>
        </c:marker>
        <c:dLbl>
          <c:idx val="0"/>
          <c:layout>
            <c:manualLayout>
              <c:x val="-5.2642689934028541E-2"/>
              <c:y val="-2.7481573963779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C00000"/>
            </a:solidFill>
            <a:round/>
          </a:ln>
          <a:effectLst/>
        </c:spPr>
        <c:marker>
          <c:symbol val="none"/>
        </c:marker>
        <c:dLbl>
          <c:idx val="0"/>
          <c:layout>
            <c:manualLayout>
              <c:x val="-1.3380246388120404E-2"/>
              <c:y val="2.3312093758978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C00000"/>
            </a:solidFill>
            <a:round/>
          </a:ln>
          <a:effectLst/>
        </c:spPr>
        <c:marker>
          <c:symbol val="none"/>
        </c:marker>
        <c:dLbl>
          <c:idx val="0"/>
          <c:layout>
            <c:manualLayout>
              <c:x val="-7.4264311555650137E-2"/>
              <c:y val="3.1777705046104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79049916057792E-3"/>
          <c:y val="0.11174973519967846"/>
          <c:w val="0.98961802747629524"/>
          <c:h val="0.80138676045053048"/>
        </c:manualLayout>
      </c:layout>
      <c:lineChart>
        <c:grouping val="standard"/>
        <c:varyColors val="0"/>
        <c:ser>
          <c:idx val="0"/>
          <c:order val="0"/>
          <c:tx>
            <c:strRef>
              <c:f>Sheet1!$T$3:$T$4</c:f>
              <c:strCache>
                <c:ptCount val="1"/>
                <c:pt idx="0">
                  <c:v>Automatic</c:v>
                </c:pt>
              </c:strCache>
            </c:strRef>
          </c:tx>
          <c:spPr>
            <a:ln w="28575" cap="rnd">
              <a:solidFill>
                <a:srgbClr val="1F4E99"/>
              </a:solidFill>
              <a:round/>
            </a:ln>
            <a:effectLst/>
          </c:spPr>
          <c:marker>
            <c:symbol val="none"/>
          </c:marker>
          <c:dPt>
            <c:idx val="3"/>
            <c:marker>
              <c:symbol val="none"/>
            </c:marker>
            <c:bubble3D val="0"/>
            <c:spPr>
              <a:ln w="28575" cap="rnd">
                <a:solidFill>
                  <a:srgbClr val="1F4E99"/>
                </a:solidFill>
                <a:round/>
              </a:ln>
              <a:effectLst/>
            </c:spPr>
            <c:extLst>
              <c:ext xmlns:c16="http://schemas.microsoft.com/office/drawing/2014/chart" uri="{C3380CC4-5D6E-409C-BE32-E72D297353CC}">
                <c16:uniqueId val="{0000000F-0BA5-4D99-BA4D-0370D76E20DB}"/>
              </c:ext>
            </c:extLst>
          </c:dPt>
          <c:dPt>
            <c:idx val="4"/>
            <c:marker>
              <c:symbol val="none"/>
            </c:marker>
            <c:bubble3D val="0"/>
            <c:spPr>
              <a:ln w="28575" cap="rnd">
                <a:solidFill>
                  <a:srgbClr val="1F4E99"/>
                </a:solidFill>
                <a:round/>
              </a:ln>
              <a:effectLst/>
            </c:spPr>
            <c:extLst>
              <c:ext xmlns:c16="http://schemas.microsoft.com/office/drawing/2014/chart" uri="{C3380CC4-5D6E-409C-BE32-E72D297353CC}">
                <c16:uniqueId val="{0000000E-0BA5-4D99-BA4D-0370D76E20DB}"/>
              </c:ext>
            </c:extLst>
          </c:dPt>
          <c:dPt>
            <c:idx val="5"/>
            <c:marker>
              <c:symbol val="none"/>
            </c:marker>
            <c:bubble3D val="0"/>
            <c:spPr>
              <a:ln w="28575" cap="rnd">
                <a:solidFill>
                  <a:srgbClr val="1F4E99"/>
                </a:solidFill>
                <a:round/>
              </a:ln>
              <a:effectLst/>
            </c:spPr>
            <c:extLst>
              <c:ext xmlns:c16="http://schemas.microsoft.com/office/drawing/2014/chart" uri="{C3380CC4-5D6E-409C-BE32-E72D297353CC}">
                <c16:uniqueId val="{00000010-0BA5-4D99-BA4D-0370D76E20DB}"/>
              </c:ext>
            </c:extLst>
          </c:dPt>
          <c:dPt>
            <c:idx val="9"/>
            <c:marker>
              <c:symbol val="none"/>
            </c:marker>
            <c:bubble3D val="0"/>
            <c:spPr>
              <a:ln w="28575" cap="rnd">
                <a:solidFill>
                  <a:srgbClr val="1F4E99"/>
                </a:solidFill>
                <a:round/>
              </a:ln>
              <a:effectLst/>
            </c:spPr>
            <c:extLst>
              <c:ext xmlns:c16="http://schemas.microsoft.com/office/drawing/2014/chart" uri="{C3380CC4-5D6E-409C-BE32-E72D297353CC}">
                <c16:uniqueId val="{00000001-4F79-4D9F-AC2B-DFBCDDCF04FA}"/>
              </c:ext>
            </c:extLst>
          </c:dPt>
          <c:dPt>
            <c:idx val="11"/>
            <c:marker>
              <c:symbol val="none"/>
            </c:marker>
            <c:bubble3D val="0"/>
            <c:spPr>
              <a:ln w="28575" cap="rnd">
                <a:solidFill>
                  <a:srgbClr val="1F4E99"/>
                </a:solidFill>
                <a:round/>
              </a:ln>
              <a:effectLst/>
            </c:spPr>
            <c:extLst>
              <c:ext xmlns:c16="http://schemas.microsoft.com/office/drawing/2014/chart" uri="{C3380CC4-5D6E-409C-BE32-E72D297353CC}">
                <c16:uniqueId val="{0000000C-0BA5-4D99-BA4D-0370D76E20DB}"/>
              </c:ext>
            </c:extLst>
          </c:dPt>
          <c:dPt>
            <c:idx val="12"/>
            <c:marker>
              <c:symbol val="none"/>
            </c:marker>
            <c:bubble3D val="0"/>
            <c:spPr>
              <a:ln w="28575" cap="rnd">
                <a:solidFill>
                  <a:srgbClr val="1F4E99"/>
                </a:solidFill>
                <a:round/>
              </a:ln>
              <a:effectLst/>
            </c:spPr>
            <c:extLst>
              <c:ext xmlns:c16="http://schemas.microsoft.com/office/drawing/2014/chart" uri="{C3380CC4-5D6E-409C-BE32-E72D297353CC}">
                <c16:uniqueId val="{00000003-4F79-4D9F-AC2B-DFBCDDCF04FA}"/>
              </c:ext>
            </c:extLst>
          </c:dPt>
          <c:dPt>
            <c:idx val="13"/>
            <c:marker>
              <c:symbol val="none"/>
            </c:marker>
            <c:bubble3D val="0"/>
            <c:spPr>
              <a:ln w="28575" cap="rnd">
                <a:solidFill>
                  <a:srgbClr val="1F4E99"/>
                </a:solidFill>
                <a:round/>
              </a:ln>
              <a:effectLst/>
            </c:spPr>
            <c:extLst>
              <c:ext xmlns:c16="http://schemas.microsoft.com/office/drawing/2014/chart" uri="{C3380CC4-5D6E-409C-BE32-E72D297353CC}">
                <c16:uniqueId val="{0000000B-C92E-4224-A6AE-E0B5AF9F5D6B}"/>
              </c:ext>
            </c:extLst>
          </c:dPt>
          <c:dLbls>
            <c:dLbl>
              <c:idx val="3"/>
              <c:layout>
                <c:manualLayout>
                  <c:x val="-4.4762810054148637E-2"/>
                  <c:y val="1.90792881154147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A5-4D99-BA4D-0370D76E20DB}"/>
                </c:ext>
              </c:extLst>
            </c:dLbl>
            <c:dLbl>
              <c:idx val="4"/>
              <c:layout>
                <c:manualLayout>
                  <c:x val="-9.3483530774869358E-2"/>
                  <c:y val="-1.0550351389526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A5-4D99-BA4D-0370D76E20DB}"/>
                </c:ext>
              </c:extLst>
            </c:dLbl>
            <c:dLbl>
              <c:idx val="5"/>
              <c:layout>
                <c:manualLayout>
                  <c:x val="-7.4264311555650137E-2"/>
                  <c:y val="3.1777705046104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A5-4D99-BA4D-0370D76E20DB}"/>
                </c:ext>
              </c:extLst>
            </c:dLbl>
            <c:dLbl>
              <c:idx val="11"/>
              <c:layout>
                <c:manualLayout>
                  <c:x val="-4.7165212456550948E-2"/>
                  <c:y val="3.60105106896673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A5-4D99-BA4D-0370D76E20DB}"/>
                </c:ext>
              </c:extLst>
            </c:dLbl>
            <c:dLbl>
              <c:idx val="13"/>
              <c:layout>
                <c:manualLayout>
                  <c:x val="-5.5045092336430922E-2"/>
                  <c:y val="2.75448994025410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92E-4224-A6AE-E0B5AF9F5D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Sheet1!$S$5:$S$20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Sheet1!$T$5:$T$20</c:f>
              <c:numCache>
                <c:formatCode>_ * #,##0_ ;_ * \-#,##0_ ;_ * "-"??_ ;_ @_ </c:formatCode>
                <c:ptCount val="15"/>
                <c:pt idx="0">
                  <c:v>24224</c:v>
                </c:pt>
                <c:pt idx="1">
                  <c:v>22001</c:v>
                </c:pt>
                <c:pt idx="2">
                  <c:v>16308</c:v>
                </c:pt>
                <c:pt idx="3">
                  <c:v>1623</c:v>
                </c:pt>
                <c:pt idx="4">
                  <c:v>18797</c:v>
                </c:pt>
                <c:pt idx="5">
                  <c:v>14042</c:v>
                </c:pt>
                <c:pt idx="6">
                  <c:v>11474</c:v>
                </c:pt>
                <c:pt idx="7">
                  <c:v>14112</c:v>
                </c:pt>
                <c:pt idx="8">
                  <c:v>9759</c:v>
                </c:pt>
                <c:pt idx="9">
                  <c:v>18535</c:v>
                </c:pt>
                <c:pt idx="10">
                  <c:v>18793</c:v>
                </c:pt>
                <c:pt idx="11">
                  <c:v>8387</c:v>
                </c:pt>
                <c:pt idx="12">
                  <c:v>20670</c:v>
                </c:pt>
                <c:pt idx="13">
                  <c:v>11088</c:v>
                </c:pt>
                <c:pt idx="14">
                  <c:v>21614</c:v>
                </c:pt>
              </c:numCache>
            </c:numRef>
          </c:val>
          <c:smooth val="0"/>
          <c:extLst>
            <c:ext xmlns:c16="http://schemas.microsoft.com/office/drawing/2014/chart" uri="{C3380CC4-5D6E-409C-BE32-E72D297353CC}">
              <c16:uniqueId val="{00000004-4F79-4D9F-AC2B-DFBCDDCF04FA}"/>
            </c:ext>
          </c:extLst>
        </c:ser>
        <c:ser>
          <c:idx val="1"/>
          <c:order val="1"/>
          <c:tx>
            <c:strRef>
              <c:f>Sheet1!$U$3:$U$4</c:f>
              <c:strCache>
                <c:ptCount val="1"/>
                <c:pt idx="0">
                  <c:v>Manual</c:v>
                </c:pt>
              </c:strCache>
            </c:strRef>
          </c:tx>
          <c:spPr>
            <a:ln w="28575" cap="rnd">
              <a:solidFill>
                <a:srgbClr val="C00000"/>
              </a:solidFill>
              <a:round/>
            </a:ln>
            <a:effectLst/>
          </c:spPr>
          <c:marker>
            <c:symbol val="none"/>
          </c:marker>
          <c:dPt>
            <c:idx val="2"/>
            <c:marker>
              <c:symbol val="none"/>
            </c:marker>
            <c:bubble3D val="0"/>
            <c:spPr>
              <a:ln w="28575" cap="rnd">
                <a:solidFill>
                  <a:srgbClr val="C00000"/>
                </a:solidFill>
                <a:round/>
              </a:ln>
              <a:effectLst/>
            </c:spPr>
            <c:extLst>
              <c:ext xmlns:c16="http://schemas.microsoft.com/office/drawing/2014/chart" uri="{C3380CC4-5D6E-409C-BE32-E72D297353CC}">
                <c16:uniqueId val="{0000000F-DC04-4E62-A861-B6E32D3A52E1}"/>
              </c:ext>
            </c:extLst>
          </c:dPt>
          <c:dPt>
            <c:idx val="3"/>
            <c:marker>
              <c:symbol val="none"/>
            </c:marker>
            <c:bubble3D val="0"/>
            <c:spPr>
              <a:ln w="28575" cap="rnd">
                <a:solidFill>
                  <a:srgbClr val="C00000"/>
                </a:solidFill>
                <a:round/>
              </a:ln>
              <a:effectLst/>
            </c:spPr>
            <c:extLst>
              <c:ext xmlns:c16="http://schemas.microsoft.com/office/drawing/2014/chart" uri="{C3380CC4-5D6E-409C-BE32-E72D297353CC}">
                <c16:uniqueId val="{00000011-DC04-4E62-A861-B6E32D3A52E1}"/>
              </c:ext>
            </c:extLst>
          </c:dPt>
          <c:dPt>
            <c:idx val="4"/>
            <c:marker>
              <c:symbol val="none"/>
            </c:marker>
            <c:bubble3D val="0"/>
            <c:spPr>
              <a:ln w="28575" cap="rnd">
                <a:solidFill>
                  <a:srgbClr val="C00000"/>
                </a:solidFill>
                <a:round/>
              </a:ln>
              <a:effectLst/>
            </c:spPr>
            <c:extLst>
              <c:ext xmlns:c16="http://schemas.microsoft.com/office/drawing/2014/chart" uri="{C3380CC4-5D6E-409C-BE32-E72D297353CC}">
                <c16:uniqueId val="{00000013-DC04-4E62-A861-B6E32D3A52E1}"/>
              </c:ext>
            </c:extLst>
          </c:dPt>
          <c:dPt>
            <c:idx val="7"/>
            <c:marker>
              <c:symbol val="none"/>
            </c:marker>
            <c:bubble3D val="0"/>
            <c:spPr>
              <a:ln w="28575" cap="rnd">
                <a:solidFill>
                  <a:srgbClr val="C00000"/>
                </a:solidFill>
                <a:round/>
              </a:ln>
              <a:effectLst/>
            </c:spPr>
            <c:extLst>
              <c:ext xmlns:c16="http://schemas.microsoft.com/office/drawing/2014/chart" uri="{C3380CC4-5D6E-409C-BE32-E72D297353CC}">
                <c16:uniqueId val="{00000015-DC04-4E62-A861-B6E32D3A52E1}"/>
              </c:ext>
            </c:extLst>
          </c:dPt>
          <c:dPt>
            <c:idx val="8"/>
            <c:marker>
              <c:symbol val="none"/>
            </c:marker>
            <c:bubble3D val="0"/>
            <c:spPr>
              <a:ln w="28575" cap="rnd">
                <a:solidFill>
                  <a:srgbClr val="C00000"/>
                </a:solidFill>
                <a:round/>
              </a:ln>
              <a:effectLst/>
            </c:spPr>
            <c:extLst>
              <c:ext xmlns:c16="http://schemas.microsoft.com/office/drawing/2014/chart" uri="{C3380CC4-5D6E-409C-BE32-E72D297353CC}">
                <c16:uniqueId val="{00000017-DC04-4E62-A861-B6E32D3A52E1}"/>
              </c:ext>
            </c:extLst>
          </c:dPt>
          <c:dPt>
            <c:idx val="10"/>
            <c:marker>
              <c:symbol val="none"/>
            </c:marker>
            <c:bubble3D val="0"/>
            <c:spPr>
              <a:ln w="28575" cap="rnd">
                <a:solidFill>
                  <a:srgbClr val="C00000"/>
                </a:solidFill>
                <a:round/>
              </a:ln>
              <a:effectLst/>
            </c:spPr>
            <c:extLst>
              <c:ext xmlns:c16="http://schemas.microsoft.com/office/drawing/2014/chart" uri="{C3380CC4-5D6E-409C-BE32-E72D297353CC}">
                <c16:uniqueId val="{00000019-DC04-4E62-A861-B6E32D3A52E1}"/>
              </c:ext>
            </c:extLst>
          </c:dPt>
          <c:dPt>
            <c:idx val="12"/>
            <c:marker>
              <c:symbol val="none"/>
            </c:marker>
            <c:bubble3D val="0"/>
            <c:spPr>
              <a:ln w="28575" cap="rnd">
                <a:solidFill>
                  <a:srgbClr val="C00000"/>
                </a:solidFill>
                <a:round/>
              </a:ln>
              <a:effectLst/>
            </c:spPr>
            <c:extLst>
              <c:ext xmlns:c16="http://schemas.microsoft.com/office/drawing/2014/chart" uri="{C3380CC4-5D6E-409C-BE32-E72D297353CC}">
                <c16:uniqueId val="{0000001B-DC04-4E62-A861-B6E32D3A52E1}"/>
              </c:ext>
            </c:extLst>
          </c:dPt>
          <c:dPt>
            <c:idx val="14"/>
            <c:marker>
              <c:symbol val="none"/>
            </c:marker>
            <c:bubble3D val="0"/>
            <c:spPr>
              <a:ln w="28575" cap="rnd">
                <a:solidFill>
                  <a:srgbClr val="C00000"/>
                </a:solidFill>
                <a:round/>
              </a:ln>
              <a:effectLst/>
            </c:spPr>
            <c:extLst>
              <c:ext xmlns:c16="http://schemas.microsoft.com/office/drawing/2014/chart" uri="{C3380CC4-5D6E-409C-BE32-E72D297353CC}">
                <c16:uniqueId val="{0000001D-DC04-4E62-A861-B6E32D3A52E1}"/>
              </c:ext>
            </c:extLst>
          </c:dPt>
          <c:dLbls>
            <c:dLbl>
              <c:idx val="2"/>
              <c:layout>
                <c:manualLayout>
                  <c:x val="-7.4264311555650137E-2"/>
                  <c:y val="3.17777050461041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C04-4E62-A861-B6E32D3A52E1}"/>
                </c:ext>
              </c:extLst>
            </c:dLbl>
            <c:dLbl>
              <c:idx val="3"/>
              <c:layout>
                <c:manualLayout>
                  <c:x val="-5.2642689934028541E-2"/>
                  <c:y val="-2.7481573963779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C04-4E62-A861-B6E32D3A52E1}"/>
                </c:ext>
              </c:extLst>
            </c:dLbl>
            <c:dLbl>
              <c:idx val="4"/>
              <c:layout>
                <c:manualLayout>
                  <c:x val="-2.1922394835780664E-3"/>
                  <c:y val="-2.3248768320216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C04-4E62-A861-B6E32D3A52E1}"/>
                </c:ext>
              </c:extLst>
            </c:dLbl>
            <c:dLbl>
              <c:idx val="7"/>
              <c:layout>
                <c:manualLayout>
                  <c:x val="-5.9849897141235724E-2"/>
                  <c:y val="4.4476121976793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C04-4E62-A861-B6E32D3A52E1}"/>
                </c:ext>
              </c:extLst>
            </c:dLbl>
            <c:dLbl>
              <c:idx val="10"/>
              <c:layout>
                <c:manualLayout>
                  <c:x val="-5.4372419663758248E-2"/>
                  <c:y val="2.3312093758977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DC04-4E62-A861-B6E32D3A52E1}"/>
                </c:ext>
              </c:extLst>
            </c:dLbl>
            <c:dLbl>
              <c:idx val="12"/>
              <c:layout>
                <c:manualLayout>
                  <c:x val="-5.2642689934028514E-2"/>
                  <c:y val="2.331209375897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DC04-4E62-A861-B6E32D3A52E1}"/>
                </c:ext>
              </c:extLst>
            </c:dLbl>
            <c:dLbl>
              <c:idx val="14"/>
              <c:layout>
                <c:manualLayout>
                  <c:x val="-1.3380246388120404E-2"/>
                  <c:y val="2.3312093758978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DC04-4E62-A861-B6E32D3A52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Sheet1!$S$5:$S$20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Sheet1!$U$5:$U$20</c:f>
              <c:numCache>
                <c:formatCode>_ * #,##0_ ;_ * \-#,##0_ ;_ * "-"??_ ;_ @_ </c:formatCode>
                <c:ptCount val="15"/>
                <c:pt idx="0">
                  <c:v>12764</c:v>
                </c:pt>
                <c:pt idx="1">
                  <c:v>14559</c:v>
                </c:pt>
                <c:pt idx="2">
                  <c:v>11876</c:v>
                </c:pt>
                <c:pt idx="3">
                  <c:v>28264</c:v>
                </c:pt>
                <c:pt idx="4">
                  <c:v>18847</c:v>
                </c:pt>
                <c:pt idx="5">
                  <c:v>15390</c:v>
                </c:pt>
                <c:pt idx="6">
                  <c:v>19152</c:v>
                </c:pt>
                <c:pt idx="7">
                  <c:v>13314</c:v>
                </c:pt>
                <c:pt idx="8">
                  <c:v>18717</c:v>
                </c:pt>
                <c:pt idx="9">
                  <c:v>22890</c:v>
                </c:pt>
                <c:pt idx="10">
                  <c:v>6079</c:v>
                </c:pt>
                <c:pt idx="11">
                  <c:v>26409</c:v>
                </c:pt>
                <c:pt idx="12">
                  <c:v>12967</c:v>
                </c:pt>
                <c:pt idx="13">
                  <c:v>21139</c:v>
                </c:pt>
                <c:pt idx="14">
                  <c:v>6484</c:v>
                </c:pt>
              </c:numCache>
            </c:numRef>
          </c:val>
          <c:smooth val="0"/>
          <c:extLst>
            <c:ext xmlns:c16="http://schemas.microsoft.com/office/drawing/2014/chart" uri="{C3380CC4-5D6E-409C-BE32-E72D297353CC}">
              <c16:uniqueId val="{00000025-FB72-471D-A2B7-52CB08ECA9FA}"/>
            </c:ext>
          </c:extLst>
        </c:ser>
        <c:dLbls>
          <c:dLblPos val="t"/>
          <c:showLegendKey val="0"/>
          <c:showVal val="1"/>
          <c:showCatName val="0"/>
          <c:showSerName val="0"/>
          <c:showPercent val="0"/>
          <c:showBubbleSize val="0"/>
        </c:dLbls>
        <c:smooth val="0"/>
        <c:axId val="402545759"/>
        <c:axId val="402539519"/>
      </c:lineChart>
      <c:catAx>
        <c:axId val="40254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539519"/>
        <c:crosses val="autoZero"/>
        <c:auto val="1"/>
        <c:lblAlgn val="ctr"/>
        <c:lblOffset val="100"/>
        <c:noMultiLvlLbl val="0"/>
      </c:catAx>
      <c:valAx>
        <c:axId val="402539519"/>
        <c:scaling>
          <c:orientation val="minMax"/>
        </c:scaling>
        <c:delete val="1"/>
        <c:axPos val="l"/>
        <c:numFmt formatCode="_ * #,##0_ ;_ * \-#,##0_ ;_ * &quot;-&quot;??_ ;_ @_ " sourceLinked="1"/>
        <c:majorTickMark val="none"/>
        <c:minorTickMark val="none"/>
        <c:tickLblPos val="nextTo"/>
        <c:crossAx val="40254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t>Model Sales: Units Sold &amp; Average Price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32F2F"/>
          </a:solidFill>
          <a:ln>
            <a:solidFill>
              <a:srgbClr val="D32F2F"/>
            </a:solidFill>
          </a:ln>
          <a:effectLst/>
        </c:spPr>
      </c:pivotFmt>
      <c:pivotFmt>
        <c:idx val="18"/>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AFE2"/>
          </a:solidFill>
          <a:ln>
            <a:noFill/>
          </a:ln>
          <a:effectLst/>
        </c:spPr>
      </c:pivotFmt>
      <c:pivotFmt>
        <c:idx val="20"/>
        <c:spPr>
          <a:solidFill>
            <a:srgbClr val="D32F2F"/>
          </a:solidFill>
          <a:ln>
            <a:solidFill>
              <a:srgbClr val="D32F2F"/>
            </a:solidFill>
          </a:ln>
          <a:effectLst/>
        </c:spPr>
        <c:dLbl>
          <c:idx val="0"/>
          <c:layout>
            <c:manualLayout>
              <c:x val="-7.8979522014211261E-17"/>
              <c:y val="1.122019470129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AFE2"/>
          </a:solidFill>
          <a:ln>
            <a:noFill/>
          </a:ln>
          <a:effectLst/>
        </c:spPr>
        <c:dLbl>
          <c:idx val="0"/>
          <c:layout>
            <c:manualLayout>
              <c:x val="-2.1540118470652378E-3"/>
              <c:y val="-1.4960259601733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70185706140409E-2"/>
          <c:y val="0.18635723166183171"/>
          <c:w val="0.91372981429385958"/>
          <c:h val="0.7975941664411339"/>
        </c:manualLayout>
      </c:layout>
      <c:barChart>
        <c:barDir val="bar"/>
        <c:grouping val="clustered"/>
        <c:varyColors val="0"/>
        <c:ser>
          <c:idx val="0"/>
          <c:order val="0"/>
          <c:tx>
            <c:strRef>
              <c:f>Sheet1!$D$2</c:f>
              <c:strCache>
                <c:ptCount val="1"/>
                <c:pt idx="0">
                  <c:v>Number of Unit Sold</c:v>
                </c:pt>
              </c:strCache>
            </c:strRef>
          </c:tx>
          <c:spPr>
            <a:solidFill>
              <a:srgbClr val="D32F2F"/>
            </a:solidFill>
            <a:ln>
              <a:solidFill>
                <a:srgbClr val="D32F2F"/>
              </a:solidFill>
            </a:ln>
            <a:effectLst/>
          </c:spPr>
          <c:invertIfNegative val="0"/>
          <c:dPt>
            <c:idx val="0"/>
            <c:invertIfNegative val="0"/>
            <c:bubble3D val="0"/>
            <c:extLst>
              <c:ext xmlns:c16="http://schemas.microsoft.com/office/drawing/2014/chart" uri="{C3380CC4-5D6E-409C-BE32-E72D297353CC}">
                <c16:uniqueId val="{00000001-B604-4150-844D-1741AED7F7DA}"/>
              </c:ext>
            </c:extLst>
          </c:dPt>
          <c:dPt>
            <c:idx val="5"/>
            <c:invertIfNegative val="0"/>
            <c:bubble3D val="0"/>
            <c:spPr>
              <a:solidFill>
                <a:srgbClr val="D32F2F"/>
              </a:solidFill>
              <a:ln>
                <a:solidFill>
                  <a:srgbClr val="D32F2F"/>
                </a:solidFill>
              </a:ln>
              <a:effectLst/>
            </c:spPr>
            <c:extLst>
              <c:ext xmlns:c16="http://schemas.microsoft.com/office/drawing/2014/chart" uri="{C3380CC4-5D6E-409C-BE32-E72D297353CC}">
                <c16:uniqueId val="{00000002-FBC8-4FB9-A74C-3B86F67D0442}"/>
              </c:ext>
            </c:extLst>
          </c:dPt>
          <c:dLbls>
            <c:dLbl>
              <c:idx val="5"/>
              <c:layout>
                <c:manualLayout>
                  <c:x val="-7.8979522014211261E-17"/>
                  <c:y val="1.1220194701299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C8-4FB9-A74C-3B86F67D0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Sheet1!$C$3:$C$14</c:f>
              <c:strCache>
                <c:ptCount val="11"/>
                <c:pt idx="0">
                  <c:v>M5</c:v>
                </c:pt>
                <c:pt idx="1">
                  <c:v>X6</c:v>
                </c:pt>
                <c:pt idx="2">
                  <c:v>X3</c:v>
                </c:pt>
                <c:pt idx="3">
                  <c:v>X5</c:v>
                </c:pt>
                <c:pt idx="4">
                  <c:v>X1</c:v>
                </c:pt>
                <c:pt idx="5">
                  <c:v>i8</c:v>
                </c:pt>
                <c:pt idx="6">
                  <c:v>i3</c:v>
                </c:pt>
                <c:pt idx="7">
                  <c:v>M3</c:v>
                </c:pt>
                <c:pt idx="8">
                  <c:v>7 Series</c:v>
                </c:pt>
                <c:pt idx="9">
                  <c:v>5 Series</c:v>
                </c:pt>
                <c:pt idx="10">
                  <c:v>3 Series</c:v>
                </c:pt>
              </c:strCache>
            </c:strRef>
          </c:cat>
          <c:val>
            <c:numRef>
              <c:f>Sheet1!$D$3:$D$14</c:f>
              <c:numCache>
                <c:formatCode>_ * #,##0_ ;_ * \-#,##0_ ;_ * "-"??_ ;_ @_ </c:formatCode>
                <c:ptCount val="11"/>
                <c:pt idx="0">
                  <c:v>34286</c:v>
                </c:pt>
                <c:pt idx="1">
                  <c:v>38063</c:v>
                </c:pt>
                <c:pt idx="2">
                  <c:v>38747</c:v>
                </c:pt>
                <c:pt idx="3">
                  <c:v>38779</c:v>
                </c:pt>
                <c:pt idx="4">
                  <c:v>40011</c:v>
                </c:pt>
                <c:pt idx="5">
                  <c:v>46886</c:v>
                </c:pt>
                <c:pt idx="6">
                  <c:v>47107</c:v>
                </c:pt>
                <c:pt idx="7">
                  <c:v>48100</c:v>
                </c:pt>
                <c:pt idx="8">
                  <c:v>48170</c:v>
                </c:pt>
                <c:pt idx="9">
                  <c:v>48703</c:v>
                </c:pt>
                <c:pt idx="10">
                  <c:v>51426</c:v>
                </c:pt>
              </c:numCache>
            </c:numRef>
          </c:val>
          <c:extLst>
            <c:ext xmlns:c16="http://schemas.microsoft.com/office/drawing/2014/chart" uri="{C3380CC4-5D6E-409C-BE32-E72D297353CC}">
              <c16:uniqueId val="{00000002-B604-4150-844D-1741AED7F7DA}"/>
            </c:ext>
          </c:extLst>
        </c:ser>
        <c:ser>
          <c:idx val="1"/>
          <c:order val="1"/>
          <c:tx>
            <c:strRef>
              <c:f>Sheet1!$E$2</c:f>
              <c:strCache>
                <c:ptCount val="1"/>
                <c:pt idx="0">
                  <c:v>Avg Price_USD</c:v>
                </c:pt>
              </c:strCache>
            </c:strRef>
          </c:tx>
          <c:spPr>
            <a:solidFill>
              <a:srgbClr val="00AFE2"/>
            </a:solidFill>
            <a:ln>
              <a:noFill/>
            </a:ln>
            <a:effectLst/>
          </c:spPr>
          <c:invertIfNegative val="0"/>
          <c:dPt>
            <c:idx val="0"/>
            <c:invertIfNegative val="0"/>
            <c:bubble3D val="0"/>
            <c:extLst>
              <c:ext xmlns:c16="http://schemas.microsoft.com/office/drawing/2014/chart" uri="{C3380CC4-5D6E-409C-BE32-E72D297353CC}">
                <c16:uniqueId val="{00000004-B604-4150-844D-1741AED7F7DA}"/>
              </c:ext>
            </c:extLst>
          </c:dPt>
          <c:dPt>
            <c:idx val="5"/>
            <c:invertIfNegative val="0"/>
            <c:bubble3D val="0"/>
            <c:spPr>
              <a:solidFill>
                <a:srgbClr val="00AFE2"/>
              </a:solidFill>
              <a:ln>
                <a:noFill/>
              </a:ln>
              <a:effectLst/>
            </c:spPr>
            <c:extLst>
              <c:ext xmlns:c16="http://schemas.microsoft.com/office/drawing/2014/chart" uri="{C3380CC4-5D6E-409C-BE32-E72D297353CC}">
                <c16:uniqueId val="{00000005-FBC8-4FB9-A74C-3B86F67D0442}"/>
              </c:ext>
            </c:extLst>
          </c:dPt>
          <c:dLbls>
            <c:dLbl>
              <c:idx val="5"/>
              <c:layout>
                <c:manualLayout>
                  <c:x val="-2.1540118470652378E-3"/>
                  <c:y val="-1.49602596017331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C8-4FB9-A74C-3B86F67D0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Sheet1!$C$3:$C$14</c:f>
              <c:strCache>
                <c:ptCount val="11"/>
                <c:pt idx="0">
                  <c:v>M5</c:v>
                </c:pt>
                <c:pt idx="1">
                  <c:v>X6</c:v>
                </c:pt>
                <c:pt idx="2">
                  <c:v>X3</c:v>
                </c:pt>
                <c:pt idx="3">
                  <c:v>X5</c:v>
                </c:pt>
                <c:pt idx="4">
                  <c:v>X1</c:v>
                </c:pt>
                <c:pt idx="5">
                  <c:v>i8</c:v>
                </c:pt>
                <c:pt idx="6">
                  <c:v>i3</c:v>
                </c:pt>
                <c:pt idx="7">
                  <c:v>M3</c:v>
                </c:pt>
                <c:pt idx="8">
                  <c:v>7 Series</c:v>
                </c:pt>
                <c:pt idx="9">
                  <c:v>5 Series</c:v>
                </c:pt>
                <c:pt idx="10">
                  <c:v>3 Series</c:v>
                </c:pt>
              </c:strCache>
            </c:strRef>
          </c:cat>
          <c:val>
            <c:numRef>
              <c:f>Sheet1!$E$3:$E$14</c:f>
              <c:numCache>
                <c:formatCode>[$$-409]#,##0.00</c:formatCode>
                <c:ptCount val="11"/>
                <c:pt idx="0">
                  <c:v>31220</c:v>
                </c:pt>
                <c:pt idx="1">
                  <c:v>31256.25</c:v>
                </c:pt>
                <c:pt idx="2">
                  <c:v>27431.3125</c:v>
                </c:pt>
                <c:pt idx="3">
                  <c:v>29510.0625</c:v>
                </c:pt>
                <c:pt idx="4">
                  <c:v>32827.3125</c:v>
                </c:pt>
                <c:pt idx="5">
                  <c:v>30479.1875</c:v>
                </c:pt>
                <c:pt idx="6">
                  <c:v>29230.647058823528</c:v>
                </c:pt>
                <c:pt idx="7">
                  <c:v>29885.5</c:v>
                </c:pt>
                <c:pt idx="8">
                  <c:v>30002.647058823528</c:v>
                </c:pt>
                <c:pt idx="9">
                  <c:v>30010.823529411766</c:v>
                </c:pt>
                <c:pt idx="10">
                  <c:v>27523.176470588234</c:v>
                </c:pt>
              </c:numCache>
            </c:numRef>
          </c:val>
          <c:extLst>
            <c:ext xmlns:c16="http://schemas.microsoft.com/office/drawing/2014/chart" uri="{C3380CC4-5D6E-409C-BE32-E72D297353CC}">
              <c16:uniqueId val="{00000005-B604-4150-844D-1741AED7F7DA}"/>
            </c:ext>
          </c:extLst>
        </c:ser>
        <c:dLbls>
          <c:dLblPos val="outEnd"/>
          <c:showLegendKey val="0"/>
          <c:showVal val="1"/>
          <c:showCatName val="0"/>
          <c:showSerName val="0"/>
          <c:showPercent val="0"/>
          <c:showBubbleSize val="0"/>
        </c:dLbls>
        <c:gapWidth val="182"/>
        <c:axId val="1855708607"/>
        <c:axId val="1855712447"/>
      </c:barChart>
      <c:catAx>
        <c:axId val="185570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712447"/>
        <c:crosses val="autoZero"/>
        <c:auto val="1"/>
        <c:lblAlgn val="ctr"/>
        <c:lblOffset val="100"/>
        <c:noMultiLvlLbl val="0"/>
      </c:catAx>
      <c:valAx>
        <c:axId val="1855712447"/>
        <c:scaling>
          <c:orientation val="minMax"/>
        </c:scaling>
        <c:delete val="1"/>
        <c:axPos val="b"/>
        <c:numFmt formatCode="_ * #,##0_ ;_ * \-#,##0_ ;_ * &quot;-&quot;??_ ;_ @_ " sourceLinked="1"/>
        <c:majorTickMark val="none"/>
        <c:minorTickMark val="none"/>
        <c:tickLblPos val="nextTo"/>
        <c:crossAx val="1855708607"/>
        <c:crosses val="autoZero"/>
        <c:crossBetween val="between"/>
      </c:valAx>
      <c:spPr>
        <a:noFill/>
        <a:ln>
          <a:noFill/>
        </a:ln>
        <a:effectLst/>
      </c:spPr>
    </c:plotArea>
    <c:legend>
      <c:legendPos val="r"/>
      <c:layout>
        <c:manualLayout>
          <c:xMode val="edge"/>
          <c:yMode val="edge"/>
          <c:x val="0.80796034247963167"/>
          <c:y val="0.64661900815029694"/>
          <c:w val="0.18372703412073493"/>
          <c:h val="0.138875535294930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project.xlsx]Sheet1!PivotTable2</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t>Units Sold Trends Across Fuel Types</a:t>
            </a:r>
            <a:endParaRPr lang="en-IN">
              <a:solidFill>
                <a:schemeClr val="tx1"/>
              </a:solidFill>
            </a:endParaRPr>
          </a:p>
        </c:rich>
      </c:tx>
      <c:layout>
        <c:manualLayout>
          <c:xMode val="edge"/>
          <c:yMode val="edge"/>
          <c:x val="0.32236687916569284"/>
          <c:y val="8.65786982711941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00"/>
          </a:solidFill>
          <a:ln>
            <a:noFill/>
          </a:ln>
          <a:effectLst/>
        </c:spPr>
        <c:dLbl>
          <c:idx val="0"/>
          <c:layout>
            <c:manualLayout>
              <c:x val="-2.35155790711346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00"/>
          </a:solidFill>
          <a:ln>
            <a:noFill/>
          </a:ln>
          <a:effectLst/>
        </c:spPr>
        <c:dLbl>
          <c:idx val="0"/>
          <c:layout>
            <c:manualLayout>
              <c:x val="4.7031158142270112E-3"/>
              <c:y val="-2.22841290795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00"/>
          </a:solidFill>
          <a:ln>
            <a:noFill/>
          </a:ln>
          <a:effectLst/>
        </c:spPr>
        <c:dLbl>
          <c:idx val="0"/>
          <c:layout>
            <c:manualLayout>
              <c:x val="2.821869488536155E-2"/>
              <c:y val="-7.4280430265005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4E99"/>
          </a:solidFill>
          <a:ln>
            <a:noFill/>
          </a:ln>
          <a:effectLst/>
        </c:spPr>
        <c:dLbl>
          <c:idx val="0"/>
          <c:layout>
            <c:manualLayout>
              <c:x val="-2.6944623085756599E-18"/>
              <c:y val="-4.828227967225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F4E99"/>
          </a:solidFill>
          <a:ln>
            <a:noFill/>
          </a:ln>
          <a:effectLst/>
        </c:spPr>
        <c:dLbl>
          <c:idx val="0"/>
          <c:layout>
            <c:manualLayout>
              <c:x val="-8.6222793874421115E-17"/>
              <c:y val="-5.5710322698754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99"/>
          </a:solidFill>
          <a:ln>
            <a:noFill/>
          </a:ln>
          <a:effectLst/>
        </c:spPr>
        <c:dLbl>
          <c:idx val="0"/>
          <c:layout>
            <c:manualLayout>
              <c:x val="1.41093474426806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0000"/>
          </a:solidFill>
          <a:ln>
            <a:noFill/>
          </a:ln>
          <a:effectLst/>
        </c:spPr>
        <c:dLbl>
          <c:idx val="0"/>
          <c:layout>
            <c:manualLayout>
              <c:x val="2.821869488536155E-2"/>
              <c:y val="-7.4280430265005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0000"/>
          </a:solidFill>
          <a:ln>
            <a:noFill/>
          </a:ln>
          <a:effectLst/>
        </c:spPr>
        <c:dLbl>
          <c:idx val="0"/>
          <c:layout>
            <c:manualLayout>
              <c:x val="4.7031158142270112E-3"/>
              <c:y val="-2.22841290795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0000"/>
          </a:solidFill>
          <a:ln>
            <a:noFill/>
          </a:ln>
          <a:effectLst/>
        </c:spPr>
        <c:dLbl>
          <c:idx val="0"/>
          <c:layout>
            <c:manualLayout>
              <c:x val="-2.35155790711346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F4E99"/>
          </a:solidFill>
          <a:ln>
            <a:noFill/>
          </a:ln>
          <a:effectLst/>
        </c:spPr>
        <c:dLbl>
          <c:idx val="0"/>
          <c:layout>
            <c:manualLayout>
              <c:x val="-2.6944623085756599E-18"/>
              <c:y val="-4.828227967225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F4E99"/>
          </a:solidFill>
          <a:ln>
            <a:noFill/>
          </a:ln>
          <a:effectLst/>
        </c:spPr>
        <c:dLbl>
          <c:idx val="0"/>
          <c:layout>
            <c:manualLayout>
              <c:x val="-8.6222793874421115E-17"/>
              <c:y val="-5.5710322698754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F4E99"/>
          </a:solidFill>
          <a:ln>
            <a:noFill/>
          </a:ln>
          <a:effectLst/>
        </c:spPr>
        <c:dLbl>
          <c:idx val="0"/>
          <c:layout>
            <c:manualLayout>
              <c:x val="1.41093474426806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0000"/>
          </a:solidFill>
          <a:ln>
            <a:noFill/>
          </a:ln>
          <a:effectLst/>
        </c:spPr>
        <c:dLbl>
          <c:idx val="0"/>
          <c:layout>
            <c:manualLayout>
              <c:x val="1.92539109506618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0000"/>
          </a:solidFill>
          <a:ln>
            <a:noFill/>
          </a:ln>
          <a:effectLst/>
        </c:spPr>
        <c:dLbl>
          <c:idx val="0"/>
          <c:layout>
            <c:manualLayout>
              <c:x val="-4.7365296081585536E-3"/>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0000"/>
          </a:solidFill>
          <a:ln>
            <a:noFill/>
          </a:ln>
          <a:effectLst/>
        </c:spPr>
        <c:dLbl>
          <c:idx val="0"/>
          <c:layout>
            <c:manualLayout>
              <c:x val="-1.87573247722475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F4E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F4E99"/>
          </a:solidFill>
          <a:ln>
            <a:noFill/>
          </a:ln>
          <a:effectLst/>
        </c:spP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1F4E99"/>
          </a:solidFill>
          <a:ln>
            <a:noFill/>
          </a:ln>
          <a:effectLst/>
        </c:spPr>
        <c:dLbl>
          <c:idx val="0"/>
          <c:layout>
            <c:manualLayout>
              <c:x val="0"/>
              <c:y val="-6.6445182724252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1F4E99"/>
          </a:solidFill>
          <a:ln>
            <a:noFill/>
          </a:ln>
          <a:effectLst/>
        </c:spPr>
      </c:pivotFmt>
      <c:pivotFmt>
        <c:idx val="28"/>
        <c:spPr>
          <a:solidFill>
            <a:srgbClr val="D32F2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AFE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1F4E99"/>
          </a:solidFill>
          <a:ln w="25400">
            <a:noFill/>
          </a:ln>
          <a:effectLst/>
        </c:spP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32F2F"/>
          </a:solidFill>
          <a:ln w="25400">
            <a:noFill/>
          </a:ln>
          <a:effectLst/>
        </c:spP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0000"/>
          </a:solidFill>
          <a:ln>
            <a:noFill/>
          </a:ln>
          <a:effectLst/>
        </c:spPr>
        <c:dLbl>
          <c:idx val="0"/>
          <c:layout>
            <c:manualLayout>
              <c:x val="1.92539109506618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00000"/>
          </a:solidFill>
          <a:ln>
            <a:noFill/>
          </a:ln>
          <a:effectLst/>
        </c:spPr>
        <c:dLbl>
          <c:idx val="0"/>
          <c:layout>
            <c:manualLayout>
              <c:x val="-4.7365296081585536E-3"/>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00000"/>
          </a:solidFill>
          <a:ln>
            <a:noFill/>
          </a:ln>
          <a:effectLst/>
        </c:spPr>
        <c:dLbl>
          <c:idx val="0"/>
          <c:layout>
            <c:manualLayout>
              <c:x val="-1.87573247722475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1F4E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F4E99"/>
          </a:solidFill>
          <a:ln>
            <a:noFill/>
          </a:ln>
          <a:effectLst/>
        </c:spP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1F4E99"/>
          </a:solidFill>
          <a:ln w="25400">
            <a:noFill/>
          </a:ln>
          <a:effectLst/>
        </c:spP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F4E99"/>
          </a:solidFill>
          <a:ln>
            <a:noFill/>
          </a:ln>
          <a:effectLst/>
        </c:spPr>
        <c:dLbl>
          <c:idx val="0"/>
          <c:layout>
            <c:manualLayout>
              <c:x val="0"/>
              <c:y val="-6.6445182724252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1F4E99"/>
          </a:solidFill>
          <a:ln>
            <a:noFill/>
          </a:ln>
          <a:effectLst/>
        </c:spPr>
      </c:pivotFmt>
      <c:pivotFmt>
        <c:idx val="41"/>
        <c:spPr>
          <a:solidFill>
            <a:srgbClr val="D32F2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D32F2F"/>
          </a:solidFill>
          <a:ln w="25400">
            <a:noFill/>
          </a:ln>
          <a:effectLst/>
        </c:spP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00AFE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00000"/>
          </a:solidFill>
          <a:ln>
            <a:noFill/>
          </a:ln>
          <a:effectLst/>
        </c:spPr>
        <c:dLbl>
          <c:idx val="0"/>
          <c:layout>
            <c:manualLayout>
              <c:x val="1.92539109506618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000000"/>
          </a:solidFill>
          <a:ln>
            <a:noFill/>
          </a:ln>
          <a:effectLst/>
        </c:spPr>
        <c:dLbl>
          <c:idx val="0"/>
          <c:layout>
            <c:manualLayout>
              <c:x val="-4.7365296081585536E-3"/>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0000"/>
          </a:solidFill>
          <a:ln>
            <a:noFill/>
          </a:ln>
          <a:effectLst/>
        </c:spPr>
        <c:dLbl>
          <c:idx val="0"/>
          <c:layout>
            <c:manualLayout>
              <c:x val="-1.87573247722475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1F4E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1F4E99"/>
          </a:solidFill>
          <a:ln>
            <a:noFill/>
          </a:ln>
          <a:effectLst/>
        </c:spP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F4E99"/>
          </a:solidFill>
          <a:ln w="25400">
            <a:noFill/>
          </a:ln>
          <a:effectLst/>
        </c:spP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1F4E99"/>
          </a:solidFill>
          <a:ln>
            <a:noFill/>
          </a:ln>
          <a:effectLst/>
        </c:spPr>
        <c:dLbl>
          <c:idx val="0"/>
          <c:layout>
            <c:manualLayout>
              <c:x val="0"/>
              <c:y val="-6.6445182724252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1F4E99"/>
          </a:solidFill>
          <a:ln>
            <a:noFill/>
          </a:ln>
          <a:effectLst/>
        </c:spPr>
      </c:pivotFmt>
      <c:pivotFmt>
        <c:idx val="53"/>
        <c:spPr>
          <a:solidFill>
            <a:srgbClr val="D32F2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D32F2F"/>
          </a:solidFill>
          <a:ln w="25400">
            <a:noFill/>
          </a:ln>
          <a:effectLst/>
        </c:spP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00AFE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00000"/>
          </a:solidFill>
          <a:ln>
            <a:noFill/>
          </a:ln>
          <a:effectLst/>
        </c:spPr>
        <c:dLbl>
          <c:idx val="0"/>
          <c:layout>
            <c:manualLayout>
              <c:x val="1.92539109506618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000000"/>
          </a:solidFill>
          <a:ln>
            <a:noFill/>
          </a:ln>
          <a:effectLst/>
        </c:spPr>
        <c:dLbl>
          <c:idx val="0"/>
          <c:layout>
            <c:manualLayout>
              <c:x val="-4.7365296081585536E-3"/>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000000"/>
          </a:solidFill>
          <a:ln>
            <a:noFill/>
          </a:ln>
          <a:effectLst/>
        </c:spPr>
        <c:dLbl>
          <c:idx val="0"/>
          <c:layout>
            <c:manualLayout>
              <c:x val="-1.87573247722475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F4E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1F4E99"/>
          </a:solidFill>
          <a:ln>
            <a:noFill/>
          </a:ln>
          <a:effectLst/>
        </c:spP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1F4E99"/>
          </a:solidFill>
          <a:ln w="25400">
            <a:noFill/>
          </a:ln>
          <a:effectLst/>
        </c:spP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1F4E99"/>
          </a:solidFill>
          <a:ln>
            <a:noFill/>
          </a:ln>
          <a:effectLst/>
        </c:spPr>
        <c:dLbl>
          <c:idx val="0"/>
          <c:layout>
            <c:manualLayout>
              <c:x val="0"/>
              <c:y val="-6.6445182724252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1F4E99"/>
          </a:solidFill>
          <a:ln>
            <a:noFill/>
          </a:ln>
          <a:effectLst/>
        </c:spPr>
      </c:pivotFmt>
      <c:pivotFmt>
        <c:idx val="65"/>
        <c:spPr>
          <a:solidFill>
            <a:srgbClr val="D32F2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D32F2F"/>
          </a:solidFill>
          <a:ln w="25400">
            <a:noFill/>
          </a:ln>
          <a:effectLst/>
        </c:spP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00AFE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rgbClr val="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rgbClr val="000000"/>
            </a:solidFill>
            <a:round/>
          </a:ln>
          <a:effectLst/>
        </c:spPr>
        <c:marker>
          <c:symbol val="none"/>
        </c:marker>
        <c:dLbl>
          <c:idx val="0"/>
          <c:layout>
            <c:manualLayout>
              <c:x val="-9.2264002939103753E-4"/>
              <c:y val="4.42967884828349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rgbClr val="000000"/>
            </a:solidFill>
            <a:round/>
          </a:ln>
          <a:effectLst/>
        </c:spPr>
        <c:marker>
          <c:symbol val="none"/>
        </c:marker>
        <c:dLbl>
          <c:idx val="0"/>
          <c:layout>
            <c:manualLayout>
              <c:x val="-1.4772330877995194E-2"/>
              <c:y val="-5.5762773114004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rgbClr val="000000"/>
            </a:solidFill>
            <a:round/>
          </a:ln>
          <a:effectLst/>
        </c:spPr>
        <c:marker>
          <c:symbol val="none"/>
        </c:marker>
        <c:dLbl>
          <c:idx val="0"/>
          <c:layout>
            <c:manualLayout>
              <c:x val="-1.7323624869471962E-2"/>
              <c:y val="2.0325209757765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rgbClr val="1F4E99"/>
            </a:solidFill>
            <a:round/>
          </a:ln>
          <a:effectLst/>
        </c:spPr>
        <c:marker>
          <c:symbol val="none"/>
        </c:marke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rgbClr val="1F4E99"/>
            </a:solidFill>
            <a:round/>
          </a:ln>
          <a:effectLst/>
        </c:spPr>
        <c:marker>
          <c:symbol val="none"/>
        </c:marke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rgbClr val="1F4E99"/>
            </a:solidFill>
            <a:round/>
          </a:ln>
          <a:effectLst/>
        </c:spPr>
        <c:marker>
          <c:symbol val="none"/>
        </c:marker>
        <c:dLbl>
          <c:idx val="0"/>
          <c:layout>
            <c:manualLayout>
              <c:x val="-1.8637992831541324E-2"/>
              <c:y val="-6.644519123141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rgbClr val="1F4E99"/>
            </a:solidFill>
            <a:round/>
          </a:ln>
          <a:effectLst/>
        </c:spPr>
        <c:marker>
          <c:symbol val="none"/>
        </c:marker>
      </c:pivotFmt>
      <c:pivotFmt>
        <c:idx val="77"/>
        <c:spPr>
          <a:solidFill>
            <a:schemeClr val="accent1"/>
          </a:solidFill>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rgbClr val="D32F2F"/>
            </a:solidFill>
            <a:round/>
          </a:ln>
          <a:effectLst/>
        </c:spPr>
        <c:marker>
          <c:symbol val="none"/>
        </c:marke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rgbClr val="000000"/>
            </a:solidFill>
            <a:round/>
          </a:ln>
          <a:effectLst/>
        </c:spPr>
        <c:marker>
          <c:symbol val="none"/>
        </c:marker>
        <c:dLbl>
          <c:idx val="0"/>
          <c:layout>
            <c:manualLayout>
              <c:x val="-3.0824920634802505E-17"/>
              <c:y val="1.7718715393133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rgbClr val="000000"/>
            </a:solidFill>
            <a:round/>
          </a:ln>
          <a:effectLst/>
        </c:spPr>
        <c:marker>
          <c:symbol val="none"/>
        </c:marker>
        <c:dLbl>
          <c:idx val="0"/>
          <c:layout>
            <c:manualLayout>
              <c:x val="0"/>
              <c:y val="3.9867109634551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rgbClr val="000000"/>
            </a:solidFill>
            <a:round/>
          </a:ln>
          <a:effectLst/>
        </c:spPr>
        <c:marker>
          <c:symbol val="none"/>
        </c:marker>
        <c:dLbl>
          <c:idx val="0"/>
          <c:layout>
            <c:manualLayout>
              <c:x val="-1.8495166036149643E-2"/>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rgbClr val="1F4E99"/>
            </a:solidFill>
            <a:round/>
          </a:ln>
          <a:effectLst/>
        </c:spPr>
        <c:marker>
          <c:symbol val="none"/>
        </c:marker>
        <c:dLbl>
          <c:idx val="0"/>
          <c:layout>
            <c:manualLayout>
              <c:x val="-1.8495166036149657E-2"/>
              <c:y val="0.11517165005537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rgbClr val="D32F2F"/>
            </a:solidFill>
            <a:round/>
          </a:ln>
          <a:effectLst/>
        </c:spPr>
        <c:marker>
          <c:symbol val="none"/>
        </c:marker>
        <c:dLbl>
          <c:idx val="0"/>
          <c:layout>
            <c:manualLayout>
              <c:x val="-2.5220680958385876E-2"/>
              <c:y val="-8.4163898117386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rgbClr val="D32F2F"/>
            </a:solidFill>
            <a:round/>
          </a:ln>
          <a:effectLst/>
        </c:spPr>
        <c:marker>
          <c:symbol val="none"/>
        </c:marker>
        <c:dLbl>
          <c:idx val="0"/>
          <c:layout>
            <c:manualLayout>
              <c:x val="-2.185792349726776E-2"/>
              <c:y val="-2.6578073089701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rgbClr val="D32F2F"/>
            </a:solidFill>
            <a:round/>
          </a:ln>
          <a:effectLst/>
        </c:spPr>
        <c:marker>
          <c:symbol val="none"/>
        </c:marker>
        <c:dLbl>
          <c:idx val="0"/>
          <c:layout>
            <c:manualLayout>
              <c:x val="-1.0088272383354351E-2"/>
              <c:y val="4.4296788482834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rgbClr val="D32F2F"/>
            </a:solidFill>
            <a:round/>
          </a:ln>
          <a:effectLst/>
        </c:spPr>
        <c:marker>
          <c:symbol val="none"/>
        </c:marker>
        <c:dLbl>
          <c:idx val="0"/>
          <c:layout>
            <c:manualLayout>
              <c:x val="0"/>
              <c:y val="5.3156146179401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rgbClr val="1F4E99"/>
            </a:solidFill>
            <a:round/>
          </a:ln>
          <a:effectLst/>
        </c:spPr>
        <c:marker>
          <c:symbol val="none"/>
        </c:marker>
        <c:dLbl>
          <c:idx val="0"/>
          <c:layout>
            <c:manualLayout>
              <c:x val="-7.1684587813620072E-3"/>
              <c:y val="-3.2520335612424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rgbClr val="000000"/>
            </a:solidFill>
            <a:round/>
          </a:ln>
          <a:effectLst/>
        </c:spPr>
        <c:marker>
          <c:symbol val="none"/>
        </c:marker>
        <c:dLbl>
          <c:idx val="0"/>
          <c:layout>
            <c:manualLayout>
              <c:x val="-3.2974910394265235E-2"/>
              <c:y val="4.06504195155301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rgbClr val="000000"/>
            </a:solidFill>
            <a:round/>
          </a:ln>
          <a:effectLst/>
        </c:spPr>
        <c:marker>
          <c:symbol val="none"/>
        </c:marker>
        <c:dLbl>
          <c:idx val="0"/>
          <c:layout>
            <c:manualLayout>
              <c:x val="-4.3010752688172043E-3"/>
              <c:y val="2.8455293660871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rgbClr val="000000"/>
            </a:solidFill>
            <a:round/>
          </a:ln>
          <a:effectLst/>
        </c:spPr>
        <c:marker>
          <c:symbol val="none"/>
        </c:marker>
        <c:dLbl>
          <c:idx val="0"/>
          <c:layout>
            <c:manualLayout>
              <c:x val="-1.7204301075268817E-2"/>
              <c:y val="5.2845545370189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rgbClr val="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rgbClr val="000000"/>
            </a:solidFill>
            <a:round/>
          </a:ln>
          <a:effectLst/>
        </c:spPr>
        <c:marker>
          <c:symbol val="none"/>
        </c:marker>
        <c:dLbl>
          <c:idx val="0"/>
          <c:layout>
            <c:manualLayout>
              <c:x val="-9.2264002939103753E-4"/>
              <c:y val="4.42967884828349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rgbClr val="000000"/>
            </a:solidFill>
            <a:round/>
          </a:ln>
          <a:effectLst/>
        </c:spPr>
        <c:marker>
          <c:symbol val="none"/>
        </c:marker>
        <c:dLbl>
          <c:idx val="0"/>
          <c:layout>
            <c:manualLayout>
              <c:x val="-3.0824920634802505E-17"/>
              <c:y val="1.7718715393133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rgbClr val="000000"/>
            </a:solidFill>
            <a:round/>
          </a:ln>
          <a:effectLst/>
        </c:spPr>
        <c:marker>
          <c:symbol val="none"/>
        </c:marker>
        <c:dLbl>
          <c:idx val="0"/>
          <c:layout>
            <c:manualLayout>
              <c:x val="0"/>
              <c:y val="3.9867109634551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rgbClr val="000000"/>
            </a:solidFill>
            <a:round/>
          </a:ln>
          <a:effectLst/>
        </c:spPr>
        <c:marker>
          <c:symbol val="none"/>
        </c:marker>
        <c:dLbl>
          <c:idx val="0"/>
          <c:layout>
            <c:manualLayout>
              <c:x val="-4.3010752688172043E-3"/>
              <c:y val="2.8455293660871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rgbClr val="000000"/>
            </a:solidFill>
            <a:round/>
          </a:ln>
          <a:effectLst/>
        </c:spPr>
        <c:marker>
          <c:symbol val="none"/>
        </c:marker>
        <c:dLbl>
          <c:idx val="0"/>
          <c:layout>
            <c:manualLayout>
              <c:x val="-1.8495166036149643E-2"/>
              <c:y val="3.5437430786267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rgbClr val="000000"/>
            </a:solidFill>
            <a:round/>
          </a:ln>
          <a:effectLst/>
        </c:spPr>
        <c:marker>
          <c:symbol val="none"/>
        </c:marker>
        <c:dLbl>
          <c:idx val="0"/>
          <c:layout>
            <c:manualLayout>
              <c:x val="-3.2974910394265235E-2"/>
              <c:y val="4.06504195155301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rgbClr val="000000"/>
            </a:solidFill>
            <a:round/>
          </a:ln>
          <a:effectLst/>
        </c:spPr>
        <c:marker>
          <c:symbol val="none"/>
        </c:marker>
        <c:dLbl>
          <c:idx val="0"/>
          <c:layout>
            <c:manualLayout>
              <c:x val="-1.7204301075268817E-2"/>
              <c:y val="5.2845545370189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rgbClr val="000000"/>
            </a:solidFill>
            <a:round/>
          </a:ln>
          <a:effectLst/>
        </c:spPr>
        <c:marker>
          <c:symbol val="none"/>
        </c:marker>
        <c:dLbl>
          <c:idx val="0"/>
          <c:layout>
            <c:manualLayout>
              <c:x val="-1.4772330877995194E-2"/>
              <c:y val="-5.5762773114004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rgbClr val="000000"/>
            </a:solidFill>
            <a:round/>
          </a:ln>
          <a:effectLst/>
        </c:spPr>
        <c:marker>
          <c:symbol val="none"/>
        </c:marker>
        <c:dLbl>
          <c:idx val="0"/>
          <c:layout>
            <c:manualLayout>
              <c:x val="-1.7323624869471962E-2"/>
              <c:y val="2.0325209757765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rgbClr val="1F4E99"/>
            </a:solidFill>
            <a:round/>
          </a:ln>
          <a:effectLst/>
        </c:spPr>
        <c:marker>
          <c:symbol val="none"/>
        </c:marker>
        <c:dLbl>
          <c:idx val="0"/>
          <c:layout>
            <c:manualLayout>
              <c:x val="7.1047944122377008E-3"/>
              <c:y val="-7.5304540420819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rgbClr val="1F4E99"/>
            </a:solidFill>
            <a:round/>
          </a:ln>
          <a:effectLst/>
        </c:spPr>
        <c:marker>
          <c:symbol val="none"/>
        </c:marker>
        <c:dLbl>
          <c:idx val="0"/>
          <c:layout>
            <c:manualLayout>
              <c:x val="-1.8495166036149657E-2"/>
              <c:y val="0.11517165005537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rgbClr val="1F4E99"/>
            </a:solidFill>
            <a:round/>
          </a:ln>
          <a:effectLst/>
        </c:spPr>
        <c:marker>
          <c:symbol val="none"/>
        </c:marker>
        <c:dLbl>
          <c:idx val="0"/>
          <c:layout>
            <c:manualLayout>
              <c:x val="9.473059216316933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rgbClr val="1F4E99"/>
            </a:solidFill>
            <a:round/>
          </a:ln>
          <a:effectLst/>
        </c:spPr>
        <c:marker>
          <c:symbol val="none"/>
        </c:marker>
        <c:dLbl>
          <c:idx val="0"/>
          <c:layout>
            <c:manualLayout>
              <c:x val="-7.1684587813620072E-3"/>
              <c:y val="-3.2520335612424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rgbClr val="1F4E99"/>
            </a:solidFill>
            <a:round/>
          </a:ln>
          <a:effectLst/>
        </c:spPr>
        <c:marker>
          <c:symbol val="none"/>
        </c:marker>
        <c:dLbl>
          <c:idx val="0"/>
          <c:layout>
            <c:manualLayout>
              <c:x val="-1.8637992831541324E-2"/>
              <c:y val="-6.644519123141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rgbClr val="1F4E99"/>
            </a:solidFill>
            <a:round/>
          </a:ln>
          <a:effectLst/>
        </c:spPr>
        <c:marker>
          <c:symbol val="none"/>
        </c:marker>
      </c:pivotFmt>
      <c:pivotFmt>
        <c:idx val="109"/>
        <c:spPr>
          <a:solidFill>
            <a:schemeClr val="accent1"/>
          </a:solidFill>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rgbClr val="D32F2F"/>
            </a:solidFill>
            <a:round/>
          </a:ln>
          <a:effectLst/>
        </c:spPr>
        <c:marker>
          <c:symbol val="none"/>
        </c:marker>
        <c:dLbl>
          <c:idx val="0"/>
          <c:layout>
            <c:manualLayout>
              <c:x val="-2.5220680958385876E-2"/>
              <c:y val="-8.4163898117386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rgbClr val="D32F2F"/>
            </a:solidFill>
            <a:round/>
          </a:ln>
          <a:effectLst/>
        </c:spPr>
        <c:marker>
          <c:symbol val="none"/>
        </c:marker>
        <c:dLbl>
          <c:idx val="0"/>
          <c:layout>
            <c:manualLayout>
              <c:x val="-2.185792349726776E-2"/>
              <c:y val="-2.6578073089701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rgbClr val="D32F2F"/>
            </a:solidFill>
            <a:round/>
          </a:ln>
          <a:effectLst/>
        </c:spPr>
        <c:marker>
          <c:symbol val="none"/>
        </c:marker>
        <c:dLbl>
          <c:idx val="0"/>
          <c:layout>
            <c:manualLayout>
              <c:x val="0"/>
              <c:y val="-7.97342192691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rgbClr val="D32F2F"/>
            </a:solidFill>
            <a:round/>
          </a:ln>
          <a:effectLst/>
        </c:spPr>
        <c:marker>
          <c:symbol val="none"/>
        </c:marker>
        <c:dLbl>
          <c:idx val="0"/>
          <c:layout>
            <c:manualLayout>
              <c:x val="-1.0088272383354351E-2"/>
              <c:y val="4.4296788482834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rgbClr val="D32F2F"/>
            </a:solidFill>
            <a:round/>
          </a:ln>
          <a:effectLst/>
        </c:spPr>
        <c:marker>
          <c:symbol val="none"/>
        </c:marker>
        <c:dLbl>
          <c:idx val="0"/>
          <c:layout>
            <c:manualLayout>
              <c:x val="0"/>
              <c:y val="5.3156146179401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6"/>
        <c:spPr>
          <a:ln w="28575" cap="rnd">
            <a:solidFill>
              <a:srgbClr val="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ln w="28575" cap="rnd">
            <a:solidFill>
              <a:srgbClr val="000000"/>
            </a:solidFill>
            <a:round/>
          </a:ln>
          <a:effectLst/>
        </c:spPr>
        <c:marker>
          <c:symbol val="none"/>
        </c:marker>
        <c:dLbl>
          <c:idx val="0"/>
          <c:layout>
            <c:manualLayout>
              <c:x val="-4.04230638007506E-2"/>
              <c:y val="-1.4973284055908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rgbClr val="000000"/>
            </a:solidFill>
            <a:round/>
          </a:ln>
          <a:effectLst/>
        </c:spPr>
        <c:marker>
          <c:symbol val="none"/>
        </c:marker>
        <c:dLbl>
          <c:idx val="0"/>
          <c:layout>
            <c:manualLayout>
              <c:x val="-2.6775844421699078E-2"/>
              <c:y val="2.7899155919299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9"/>
        <c:spPr>
          <a:ln w="28575" cap="rnd">
            <a:solidFill>
              <a:srgbClr val="000000"/>
            </a:solidFill>
            <a:round/>
          </a:ln>
          <a:effectLst/>
        </c:spPr>
        <c:marker>
          <c:symbol val="none"/>
        </c:marker>
        <c:dLbl>
          <c:idx val="0"/>
          <c:layout>
            <c:manualLayout>
              <c:x val="-4.1787785738655721E-2"/>
              <c:y val="-4.9271236036074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0"/>
        <c:spPr>
          <a:ln w="28575" cap="rnd">
            <a:solidFill>
              <a:srgbClr val="000000"/>
            </a:solidFill>
            <a:round/>
          </a:ln>
          <a:effectLst/>
        </c:spPr>
        <c:marker>
          <c:symbol val="none"/>
        </c:marker>
      </c:pivotFmt>
      <c:pivotFmt>
        <c:idx val="121"/>
        <c:spPr>
          <a:ln w="28575" cap="rnd">
            <a:solidFill>
              <a:srgbClr val="000000"/>
            </a:solidFill>
            <a:round/>
          </a:ln>
          <a:effectLst/>
        </c:spPr>
        <c:marker>
          <c:symbol val="none"/>
        </c:marker>
      </c:pivotFmt>
      <c:pivotFmt>
        <c:idx val="122"/>
        <c:spPr>
          <a:ln w="28575" cap="rnd">
            <a:solidFill>
              <a:srgbClr val="000000"/>
            </a:solidFill>
            <a:round/>
          </a:ln>
          <a:effectLst/>
        </c:spPr>
        <c:marker>
          <c:symbol val="none"/>
        </c:marker>
      </c:pivotFmt>
      <c:pivotFmt>
        <c:idx val="123"/>
        <c:spPr>
          <a:ln w="28575" cap="rnd">
            <a:solidFill>
              <a:srgbClr val="000000"/>
            </a:solidFill>
            <a:round/>
          </a:ln>
          <a:effectLst/>
        </c:spPr>
        <c:marker>
          <c:symbol val="none"/>
        </c:marker>
        <c:dLbl>
          <c:idx val="0"/>
          <c:layout>
            <c:manualLayout>
              <c:x val="-3.5755714773114977E-3"/>
              <c:y val="1.503742392673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ln w="28575" cap="rnd">
            <a:solidFill>
              <a:srgbClr val="000000"/>
            </a:solidFill>
            <a:round/>
          </a:ln>
          <a:effectLst/>
        </c:spPr>
        <c:marker>
          <c:symbol val="none"/>
        </c:marker>
        <c:dLbl>
          <c:idx val="0"/>
          <c:layout>
            <c:manualLayout>
              <c:x val="-2.0934834527465029E-2"/>
              <c:y val="2.361191192177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5"/>
        <c:spPr>
          <a:ln w="28575" cap="rnd">
            <a:solidFill>
              <a:srgbClr val="000000"/>
            </a:solidFill>
            <a:round/>
          </a:ln>
          <a:effectLst/>
        </c:spPr>
        <c:marker>
          <c:symbol val="none"/>
        </c:marker>
        <c:dLbl>
          <c:idx val="0"/>
          <c:layout>
            <c:manualLayout>
              <c:x val="-1.2772400379328223E-2"/>
              <c:y val="3.2186399916820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6"/>
        <c:spPr>
          <a:ln w="28575" cap="rnd">
            <a:solidFill>
              <a:srgbClr val="1F4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ln w="28575" cap="rnd">
            <a:solidFill>
              <a:srgbClr val="1F4E99"/>
            </a:solidFill>
            <a:round/>
          </a:ln>
          <a:effectLst/>
        </c:spPr>
        <c:marker>
          <c:symbol val="none"/>
        </c:marker>
      </c:pivotFmt>
      <c:pivotFmt>
        <c:idx val="128"/>
        <c:spPr>
          <a:ln w="28575" cap="rnd">
            <a:solidFill>
              <a:srgbClr val="1F4E99"/>
            </a:solidFill>
            <a:round/>
          </a:ln>
          <a:effectLst/>
        </c:spPr>
        <c:marker>
          <c:symbol val="none"/>
        </c:marker>
      </c:pivotFmt>
      <c:pivotFmt>
        <c:idx val="129"/>
        <c:spPr>
          <a:ln w="28575" cap="rnd">
            <a:solidFill>
              <a:srgbClr val="1F4E99"/>
            </a:solidFill>
            <a:round/>
          </a:ln>
          <a:effectLst/>
        </c:spPr>
        <c:marker>
          <c:symbol val="none"/>
        </c:marker>
      </c:pivotFmt>
      <c:pivotFmt>
        <c:idx val="130"/>
        <c:spPr>
          <a:ln w="28575" cap="rnd">
            <a:solidFill>
              <a:srgbClr val="1F4E99"/>
            </a:solidFill>
            <a:round/>
          </a:ln>
          <a:effectLst/>
        </c:spPr>
        <c:marker>
          <c:symbol val="none"/>
        </c:marker>
        <c:dLbl>
          <c:idx val="0"/>
          <c:layout>
            <c:manualLayout>
              <c:x val="-3.7311497782326904E-2"/>
              <c:y val="-2.3547772050950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1"/>
        <c:spPr>
          <a:ln w="28575" cap="rnd">
            <a:solidFill>
              <a:srgbClr val="1F4E99"/>
            </a:solidFill>
            <a:round/>
          </a:ln>
          <a:effectLst/>
        </c:spPr>
        <c:marker>
          <c:symbol val="none"/>
        </c:marker>
        <c:dLbl>
          <c:idx val="0"/>
          <c:layout>
            <c:manualLayout>
              <c:x val="-2.4046400545888774E-2"/>
              <c:y val="-3.2122260045991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2"/>
        <c:spPr>
          <a:ln w="28575" cap="rnd">
            <a:solidFill>
              <a:srgbClr val="1F4E99"/>
            </a:solidFill>
            <a:round/>
          </a:ln>
          <a:effectLst/>
        </c:spPr>
        <c:marker>
          <c:symbol val="none"/>
        </c:marker>
      </c:pivotFmt>
      <c:pivotFmt>
        <c:idx val="133"/>
        <c:spPr>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ln w="28575" cap="rnd">
            <a:solidFill>
              <a:srgbClr val="D32F2F"/>
            </a:solidFill>
            <a:round/>
          </a:ln>
          <a:effectLst/>
        </c:spPr>
        <c:marker>
          <c:symbol val="none"/>
        </c:marker>
      </c:pivotFmt>
      <c:pivotFmt>
        <c:idx val="135"/>
        <c:spPr>
          <a:ln w="28575" cap="rnd">
            <a:solidFill>
              <a:srgbClr val="D32F2F"/>
            </a:solidFill>
            <a:round/>
          </a:ln>
          <a:effectLst/>
        </c:spPr>
        <c:marker>
          <c:symbol val="none"/>
        </c:marker>
        <c:dLbl>
          <c:idx val="0"/>
          <c:layout>
            <c:manualLayout>
              <c:x val="-2.5411122483793926E-2"/>
              <c:y val="3.647364391434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6"/>
        <c:spPr>
          <a:ln w="28575" cap="rnd">
            <a:solidFill>
              <a:srgbClr val="D32F2F"/>
            </a:solidFill>
            <a:round/>
          </a:ln>
          <a:effectLst/>
        </c:spPr>
        <c:marker>
          <c:symbol val="none"/>
        </c:marker>
        <c:dLbl>
          <c:idx val="0"/>
          <c:layout>
            <c:manualLayout>
              <c:x val="-1.5858068918457865E-2"/>
              <c:y val="-4.06967480410333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7"/>
        <c:spPr>
          <a:ln w="28575" cap="rnd">
            <a:solidFill>
              <a:srgbClr val="D32F2F"/>
            </a:solidFill>
            <a:round/>
          </a:ln>
          <a:effectLst/>
        </c:spPr>
        <c:marker>
          <c:symbol val="none"/>
        </c:marker>
        <c:dLbl>
          <c:idx val="0"/>
          <c:layout>
            <c:manualLayout>
              <c:x val="-3.4964176049129991E-2"/>
              <c:y val="-4.4983992038554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8"/>
        <c:spPr>
          <a:ln w="28575" cap="rnd">
            <a:solidFill>
              <a:srgbClr val="D32F2F"/>
            </a:solidFill>
            <a:round/>
          </a:ln>
          <a:effectLst/>
        </c:spPr>
        <c:marker>
          <c:symbol val="none"/>
        </c:marker>
        <c:dLbl>
          <c:idx val="0"/>
          <c:layout>
            <c:manualLayout>
              <c:x val="-1.1763903104742408E-2"/>
              <c:y val="-3.64095040435124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4"/>
            </a:solidFill>
            <a:round/>
          </a:ln>
          <a:effectLst/>
        </c:spPr>
        <c:marker>
          <c:symbol val="none"/>
        </c:marker>
        <c:dLbl>
          <c:idx val="0"/>
          <c:layout>
            <c:manualLayout>
              <c:x val="-9.0344592289321058E-3"/>
              <c:y val="-4.06967480410333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4"/>
            </a:solidFill>
            <a:round/>
          </a:ln>
          <a:effectLst/>
        </c:spPr>
        <c:marker>
          <c:symbol val="none"/>
        </c:marker>
        <c:dLbl>
          <c:idx val="0"/>
          <c:layout>
            <c:manualLayout>
              <c:x val="-4.4517229614466053E-2"/>
              <c:y val="1.932466792425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2"/>
        <c:spPr>
          <a:ln w="28575" cap="rnd">
            <a:solidFill>
              <a:srgbClr val="000000"/>
            </a:solidFill>
            <a:round/>
          </a:ln>
          <a:effectLst/>
        </c:spPr>
        <c:marker>
          <c:symbol val="none"/>
        </c:marker>
        <c:dLbl>
          <c:idx val="0"/>
          <c:layout>
            <c:manualLayout>
              <c:x val="-2.5029000341180583E-2"/>
              <c:y val="2.36119119217789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4"/>
            </a:solidFill>
            <a:round/>
          </a:ln>
          <a:effectLst/>
        </c:spPr>
        <c:marker>
          <c:symbol val="none"/>
        </c:marker>
        <c:dLbl>
          <c:idx val="0"/>
          <c:layout>
            <c:manualLayout>
              <c:x val="-3.0870010235414535E-2"/>
              <c:y val="-9.6430920008804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4"/>
            </a:solidFill>
            <a:round/>
          </a:ln>
          <a:effectLst/>
        </c:spPr>
        <c:marker>
          <c:symbol val="none"/>
        </c:marker>
        <c:dLbl>
          <c:idx val="0"/>
          <c:layout>
            <c:manualLayout>
              <c:x val="-2.4046400545888826E-2"/>
              <c:y val="4.5048131909383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5"/>
        <c:spPr>
          <a:ln w="28575" cap="rnd">
            <a:solidFill>
              <a:srgbClr val="1F4E99"/>
            </a:solidFill>
            <a:round/>
          </a:ln>
          <a:effectLst/>
        </c:spPr>
        <c:marker>
          <c:symbol val="none"/>
        </c:marker>
        <c:dLbl>
          <c:idx val="0"/>
          <c:layout>
            <c:manualLayout>
              <c:x val="-4.8990293818185725E-4"/>
              <c:y val="-6.39879606086686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4"/>
            </a:solidFill>
            <a:round/>
          </a:ln>
          <a:effectLst/>
        </c:spPr>
        <c:marker>
          <c:symbol val="none"/>
        </c:marker>
        <c:dLbl>
          <c:idx val="0"/>
          <c:layout>
            <c:manualLayout>
              <c:x val="-2.5054897820474591E-2"/>
              <c:y val="-0.10071816400632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7"/>
        <c:spPr>
          <a:ln w="28575" cap="rnd">
            <a:solidFill>
              <a:srgbClr val="1F4E99"/>
            </a:solidFill>
            <a:round/>
          </a:ln>
          <a:effectLst/>
        </c:spPr>
        <c:marker>
          <c:symbol val="none"/>
        </c:marker>
        <c:dLbl>
          <c:idx val="0"/>
          <c:layout>
            <c:manualLayout>
              <c:x val="-9.0344592289321058E-3"/>
              <c:y val="-2.7835016048470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8"/>
        <c:spPr>
          <a:ln w="28575" cap="rnd">
            <a:solidFill>
              <a:srgbClr val="1F4E99"/>
            </a:solidFill>
            <a:round/>
          </a:ln>
          <a:effectLst/>
        </c:spPr>
        <c:marker>
          <c:symbol val="none"/>
        </c:marker>
        <c:dLbl>
          <c:idx val="0"/>
          <c:layout>
            <c:manualLayout>
              <c:x val="-2.6775844421699078E-2"/>
              <c:y val="4.0760887911862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4"/>
            </a:solidFill>
            <a:round/>
          </a:ln>
          <a:effectLst/>
        </c:spPr>
        <c:marker>
          <c:symbol val="none"/>
        </c:marker>
        <c:dLbl>
          <c:idx val="0"/>
          <c:layout>
            <c:manualLayout>
              <c:x val="-4.7246673490276357E-2"/>
              <c:y val="6.46293593169576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0"/>
        <c:spPr>
          <a:ln w="28575" cap="rnd">
            <a:solidFill>
              <a:srgbClr val="000000"/>
            </a:solidFill>
            <a:round/>
          </a:ln>
          <a:effectLst/>
        </c:spPr>
        <c:marker>
          <c:symbol val="none"/>
        </c:marker>
        <c:dLbl>
          <c:idx val="0"/>
          <c:layout>
            <c:manualLayout>
              <c:x val="-1.9952234732173321E-2"/>
              <c:y val="-4.06967480410333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1"/>
        <c:spPr>
          <a:ln w="28575" cap="rnd">
            <a:solidFill>
              <a:schemeClr val="accent4"/>
            </a:solidFill>
            <a:round/>
          </a:ln>
          <a:effectLst/>
        </c:spPr>
        <c:marker>
          <c:symbol val="none"/>
        </c:marker>
        <c:dLbl>
          <c:idx val="0"/>
          <c:layout>
            <c:manualLayout>
              <c:x val="-1.8587512794268169E-2"/>
              <c:y val="7.5058839892028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2"/>
        <c:spPr>
          <a:ln w="28575" cap="rnd">
            <a:solidFill>
              <a:srgbClr val="D32F2F"/>
            </a:solidFill>
            <a:round/>
          </a:ln>
          <a:effectLst/>
        </c:spPr>
        <c:marker>
          <c:symbol val="none"/>
        </c:marker>
        <c:dLbl>
          <c:idx val="0"/>
          <c:layout>
            <c:manualLayout>
              <c:x val="-2.5411122483793926E-2"/>
              <c:y val="-3.2122260045991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3"/>
        <c:spPr>
          <a:ln w="28575" cap="rnd">
            <a:solidFill>
              <a:srgbClr val="1F4E99"/>
            </a:solidFill>
            <a:round/>
          </a:ln>
          <a:effectLst/>
        </c:spPr>
        <c:marker>
          <c:symbol val="none"/>
        </c:marker>
        <c:dLbl>
          <c:idx val="0"/>
          <c:layout>
            <c:manualLayout>
              <c:x val="-3.0870010235414535E-2"/>
              <c:y val="4.50481319093831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4"/>
        <c:spPr>
          <a:ln w="28575" cap="rnd">
            <a:solidFill>
              <a:srgbClr val="D32F2F"/>
            </a:solidFill>
            <a:round/>
          </a:ln>
          <a:effectLst/>
        </c:spPr>
        <c:marker>
          <c:symbol val="none"/>
        </c:marker>
        <c:dLbl>
          <c:idx val="0"/>
          <c:layout>
            <c:manualLayout>
              <c:x val="-3.4964176049130088E-2"/>
              <c:y val="-4.4983992038554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5"/>
        <c:spPr>
          <a:ln w="28575" cap="rnd">
            <a:solidFill>
              <a:srgbClr val="000000"/>
            </a:solidFill>
            <a:round/>
          </a:ln>
          <a:effectLst/>
        </c:spPr>
        <c:marker>
          <c:symbol val="none"/>
        </c:marker>
        <c:dLbl>
          <c:idx val="0"/>
          <c:layout>
            <c:manualLayout>
              <c:x val="-3.4964176049130088E-2"/>
              <c:y val="-4.4983992038554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6"/>
        <c:spPr>
          <a:ln w="28575" cap="rnd">
            <a:solidFill>
              <a:schemeClr val="accent4"/>
            </a:solidFill>
            <a:round/>
          </a:ln>
          <a:effectLst/>
        </c:spPr>
        <c:marker>
          <c:symbol val="none"/>
        </c:marker>
        <c:dLbl>
          <c:idx val="0"/>
          <c:layout>
            <c:manualLayout>
              <c:x val="-2.8140566359604231E-2"/>
              <c:y val="-3.64095040435124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7"/>
        <c:spPr>
          <a:ln w="28575" cap="rnd">
            <a:solidFill>
              <a:srgbClr val="1F4E99"/>
            </a:solidFill>
            <a:round/>
          </a:ln>
          <a:effectLst/>
        </c:spPr>
        <c:marker>
          <c:symbol val="none"/>
        </c:marker>
        <c:dLbl>
          <c:idx val="0"/>
          <c:layout>
            <c:manualLayout>
              <c:x val="-4.1787785738655749E-2"/>
              <c:y val="3.2186399916820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08777128665354E-4"/>
          <c:y val="9.8606611942978983E-2"/>
          <c:w val="0.9065929501903357"/>
          <c:h val="0.82371595354382909"/>
        </c:manualLayout>
      </c:layout>
      <c:lineChart>
        <c:grouping val="standard"/>
        <c:varyColors val="0"/>
        <c:ser>
          <c:idx val="0"/>
          <c:order val="0"/>
          <c:tx>
            <c:strRef>
              <c:f>Sheet1!$I$3:$I$4</c:f>
              <c:strCache>
                <c:ptCount val="1"/>
                <c:pt idx="0">
                  <c:v>Diesel</c:v>
                </c:pt>
              </c:strCache>
            </c:strRef>
          </c:tx>
          <c:spPr>
            <a:ln w="28575" cap="rnd">
              <a:solidFill>
                <a:srgbClr val="000000"/>
              </a:solidFill>
              <a:round/>
            </a:ln>
            <a:effectLst/>
          </c:spPr>
          <c:marker>
            <c:symbol val="none"/>
          </c:marker>
          <c:dPt>
            <c:idx val="0"/>
            <c:marker>
              <c:symbol val="none"/>
            </c:marker>
            <c:bubble3D val="0"/>
            <c:spPr>
              <a:ln w="28575" cap="rnd">
                <a:solidFill>
                  <a:srgbClr val="000000"/>
                </a:solidFill>
                <a:round/>
              </a:ln>
              <a:effectLst/>
            </c:spPr>
            <c:extLst>
              <c:ext xmlns:c16="http://schemas.microsoft.com/office/drawing/2014/chart" uri="{C3380CC4-5D6E-409C-BE32-E72D297353CC}">
                <c16:uniqueId val="{00000000-9F76-4DCD-800E-5B911131854D}"/>
              </c:ext>
            </c:extLst>
          </c:dPt>
          <c:dPt>
            <c:idx val="2"/>
            <c:marker>
              <c:symbol val="none"/>
            </c:marker>
            <c:bubble3D val="0"/>
            <c:spPr>
              <a:ln w="28575" cap="rnd">
                <a:solidFill>
                  <a:srgbClr val="000000"/>
                </a:solidFill>
                <a:round/>
              </a:ln>
              <a:effectLst/>
            </c:spPr>
            <c:extLst>
              <c:ext xmlns:c16="http://schemas.microsoft.com/office/drawing/2014/chart" uri="{C3380CC4-5D6E-409C-BE32-E72D297353CC}">
                <c16:uniqueId val="{00000001-9F76-4DCD-800E-5B911131854D}"/>
              </c:ext>
            </c:extLst>
          </c:dPt>
          <c:dPt>
            <c:idx val="3"/>
            <c:marker>
              <c:symbol val="none"/>
            </c:marker>
            <c:bubble3D val="0"/>
            <c:spPr>
              <a:ln w="28575" cap="rnd">
                <a:solidFill>
                  <a:srgbClr val="000000"/>
                </a:solidFill>
                <a:round/>
              </a:ln>
              <a:effectLst/>
            </c:spPr>
            <c:extLst>
              <c:ext xmlns:c16="http://schemas.microsoft.com/office/drawing/2014/chart" uri="{C3380CC4-5D6E-409C-BE32-E72D297353CC}">
                <c16:uniqueId val="{00000002-9F76-4DCD-800E-5B911131854D}"/>
              </c:ext>
            </c:extLst>
          </c:dPt>
          <c:dPt>
            <c:idx val="4"/>
            <c:marker>
              <c:symbol val="none"/>
            </c:marker>
            <c:bubble3D val="0"/>
            <c:spPr>
              <a:ln w="28575" cap="rnd">
                <a:solidFill>
                  <a:srgbClr val="000000"/>
                </a:solidFill>
                <a:round/>
              </a:ln>
              <a:effectLst/>
            </c:spPr>
            <c:extLst>
              <c:ext xmlns:c16="http://schemas.microsoft.com/office/drawing/2014/chart" uri="{C3380CC4-5D6E-409C-BE32-E72D297353CC}">
                <c16:uniqueId val="{00000003-9F76-4DCD-800E-5B911131854D}"/>
              </c:ext>
            </c:extLst>
          </c:dPt>
          <c:dPt>
            <c:idx val="5"/>
            <c:marker>
              <c:symbol val="none"/>
            </c:marker>
            <c:bubble3D val="0"/>
            <c:spPr>
              <a:ln w="28575" cap="rnd">
                <a:solidFill>
                  <a:srgbClr val="000000"/>
                </a:solidFill>
                <a:round/>
              </a:ln>
              <a:effectLst/>
            </c:spPr>
            <c:extLst>
              <c:ext xmlns:c16="http://schemas.microsoft.com/office/drawing/2014/chart" uri="{C3380CC4-5D6E-409C-BE32-E72D297353CC}">
                <c16:uniqueId val="{00000004-9F76-4DCD-800E-5B911131854D}"/>
              </c:ext>
            </c:extLst>
          </c:dPt>
          <c:dPt>
            <c:idx val="6"/>
            <c:marker>
              <c:symbol val="none"/>
            </c:marker>
            <c:bubble3D val="0"/>
            <c:spPr>
              <a:ln w="28575" cap="rnd">
                <a:solidFill>
                  <a:srgbClr val="000000"/>
                </a:solidFill>
                <a:round/>
              </a:ln>
              <a:effectLst/>
            </c:spPr>
            <c:extLst>
              <c:ext xmlns:c16="http://schemas.microsoft.com/office/drawing/2014/chart" uri="{C3380CC4-5D6E-409C-BE32-E72D297353CC}">
                <c16:uniqueId val="{00000005-9F76-4DCD-800E-5B911131854D}"/>
              </c:ext>
            </c:extLst>
          </c:dPt>
          <c:dPt>
            <c:idx val="7"/>
            <c:marker>
              <c:symbol val="none"/>
            </c:marker>
            <c:bubble3D val="0"/>
            <c:spPr>
              <a:ln w="28575" cap="rnd">
                <a:solidFill>
                  <a:srgbClr val="000000"/>
                </a:solidFill>
                <a:round/>
              </a:ln>
              <a:effectLst/>
            </c:spPr>
            <c:extLst>
              <c:ext xmlns:c16="http://schemas.microsoft.com/office/drawing/2014/chart" uri="{C3380CC4-5D6E-409C-BE32-E72D297353CC}">
                <c16:uniqueId val="{00000029-582B-4DBF-A2C2-07F55784E0D2}"/>
              </c:ext>
            </c:extLst>
          </c:dPt>
          <c:dPt>
            <c:idx val="8"/>
            <c:marker>
              <c:symbol val="none"/>
            </c:marker>
            <c:bubble3D val="0"/>
            <c:spPr>
              <a:ln w="28575" cap="rnd">
                <a:solidFill>
                  <a:srgbClr val="000000"/>
                </a:solidFill>
                <a:round/>
              </a:ln>
              <a:effectLst/>
            </c:spPr>
            <c:extLst>
              <c:ext xmlns:c16="http://schemas.microsoft.com/office/drawing/2014/chart" uri="{C3380CC4-5D6E-409C-BE32-E72D297353CC}">
                <c16:uniqueId val="{00000006-9F76-4DCD-800E-5B911131854D}"/>
              </c:ext>
            </c:extLst>
          </c:dPt>
          <c:dPt>
            <c:idx val="9"/>
            <c:marker>
              <c:symbol val="none"/>
            </c:marker>
            <c:bubble3D val="0"/>
            <c:spPr>
              <a:ln w="28575" cap="rnd">
                <a:solidFill>
                  <a:srgbClr val="000000"/>
                </a:solidFill>
                <a:round/>
              </a:ln>
              <a:effectLst/>
            </c:spPr>
            <c:extLst>
              <c:ext xmlns:c16="http://schemas.microsoft.com/office/drawing/2014/chart" uri="{C3380CC4-5D6E-409C-BE32-E72D297353CC}">
                <c16:uniqueId val="{00000032-582B-4DBF-A2C2-07F55784E0D2}"/>
              </c:ext>
            </c:extLst>
          </c:dPt>
          <c:dPt>
            <c:idx val="10"/>
            <c:marker>
              <c:symbol val="none"/>
            </c:marker>
            <c:bubble3D val="0"/>
            <c:spPr>
              <a:ln w="28575" cap="rnd">
                <a:solidFill>
                  <a:srgbClr val="000000"/>
                </a:solidFill>
                <a:round/>
              </a:ln>
              <a:effectLst/>
            </c:spPr>
            <c:extLst>
              <c:ext xmlns:c16="http://schemas.microsoft.com/office/drawing/2014/chart" uri="{C3380CC4-5D6E-409C-BE32-E72D297353CC}">
                <c16:uniqueId val="{00000007-9F76-4DCD-800E-5B911131854D}"/>
              </c:ext>
            </c:extLst>
          </c:dPt>
          <c:dPt>
            <c:idx val="13"/>
            <c:marker>
              <c:symbol val="none"/>
            </c:marker>
            <c:bubble3D val="0"/>
            <c:spPr>
              <a:ln w="28575" cap="rnd">
                <a:solidFill>
                  <a:srgbClr val="000000"/>
                </a:solidFill>
                <a:round/>
              </a:ln>
              <a:effectLst/>
            </c:spPr>
            <c:extLst>
              <c:ext xmlns:c16="http://schemas.microsoft.com/office/drawing/2014/chart" uri="{C3380CC4-5D6E-409C-BE32-E72D297353CC}">
                <c16:uniqueId val="{00000037-582B-4DBF-A2C2-07F55784E0D2}"/>
              </c:ext>
            </c:extLst>
          </c:dPt>
          <c:dPt>
            <c:idx val="14"/>
            <c:marker>
              <c:symbol val="none"/>
            </c:marker>
            <c:bubble3D val="0"/>
            <c:spPr>
              <a:ln w="28575" cap="rnd">
                <a:solidFill>
                  <a:srgbClr val="000000"/>
                </a:solidFill>
                <a:round/>
              </a:ln>
              <a:effectLst/>
            </c:spPr>
            <c:extLst>
              <c:ext xmlns:c16="http://schemas.microsoft.com/office/drawing/2014/chart" uri="{C3380CC4-5D6E-409C-BE32-E72D297353CC}">
                <c16:uniqueId val="{00000008-9F76-4DCD-800E-5B911131854D}"/>
              </c:ext>
            </c:extLst>
          </c:dPt>
          <c:dLbls>
            <c:dLbl>
              <c:idx val="0"/>
              <c:layout>
                <c:manualLayout>
                  <c:x val="-4.04230638007506E-2"/>
                  <c:y val="-1.4973284055908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76-4DCD-800E-5B911131854D}"/>
                </c:ext>
              </c:extLst>
            </c:dLbl>
            <c:dLbl>
              <c:idx val="2"/>
              <c:layout>
                <c:manualLayout>
                  <c:x val="-2.6775844421699078E-2"/>
                  <c:y val="2.7899155919299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76-4DCD-800E-5B911131854D}"/>
                </c:ext>
              </c:extLst>
            </c:dLbl>
            <c:dLbl>
              <c:idx val="3"/>
              <c:layout>
                <c:manualLayout>
                  <c:x val="-4.1787785738655721E-2"/>
                  <c:y val="-4.9271236036074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76-4DCD-800E-5B911131854D}"/>
                </c:ext>
              </c:extLst>
            </c:dLbl>
            <c:dLbl>
              <c:idx val="7"/>
              <c:layout>
                <c:manualLayout>
                  <c:x val="-2.5029000341180583E-2"/>
                  <c:y val="2.36119119217789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582B-4DBF-A2C2-07F55784E0D2}"/>
                </c:ext>
              </c:extLst>
            </c:dLbl>
            <c:dLbl>
              <c:idx val="8"/>
              <c:layout>
                <c:manualLayout>
                  <c:x val="-3.5755714773114977E-3"/>
                  <c:y val="1.5037423926737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76-4DCD-800E-5B911131854D}"/>
                </c:ext>
              </c:extLst>
            </c:dLbl>
            <c:dLbl>
              <c:idx val="9"/>
              <c:layout>
                <c:manualLayout>
                  <c:x val="-1.9952234732173321E-2"/>
                  <c:y val="-4.0696748041033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582B-4DBF-A2C2-07F55784E0D2}"/>
                </c:ext>
              </c:extLst>
            </c:dLbl>
            <c:dLbl>
              <c:idx val="10"/>
              <c:layout>
                <c:manualLayout>
                  <c:x val="-2.0934834527465029E-2"/>
                  <c:y val="2.3611911921779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76-4DCD-800E-5B911131854D}"/>
                </c:ext>
              </c:extLst>
            </c:dLbl>
            <c:dLbl>
              <c:idx val="13"/>
              <c:layout>
                <c:manualLayout>
                  <c:x val="-3.4964176049130088E-2"/>
                  <c:y val="-4.4983992038554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582B-4DBF-A2C2-07F55784E0D2}"/>
                </c:ext>
              </c:extLst>
            </c:dLbl>
            <c:dLbl>
              <c:idx val="14"/>
              <c:layout>
                <c:manualLayout>
                  <c:x val="-1.2772400379328223E-2"/>
                  <c:y val="3.21863999168206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76-4DCD-800E-5B91113185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Sheet1!$I$5:$I$20</c:f>
              <c:numCache>
                <c:formatCode>0</c:formatCode>
                <c:ptCount val="15"/>
                <c:pt idx="0">
                  <c:v>3877</c:v>
                </c:pt>
                <c:pt idx="1">
                  <c:v>3724.6</c:v>
                </c:pt>
                <c:pt idx="2">
                  <c:v>1734</c:v>
                </c:pt>
                <c:pt idx="3">
                  <c:v>3390.5</c:v>
                </c:pt>
                <c:pt idx="4">
                  <c:v>3840.5</c:v>
                </c:pt>
                <c:pt idx="5">
                  <c:v>2861.75</c:v>
                </c:pt>
                <c:pt idx="6">
                  <c:v>4386.666666666667</c:v>
                </c:pt>
                <c:pt idx="7">
                  <c:v>896.25</c:v>
                </c:pt>
                <c:pt idx="8">
                  <c:v>2233.5714285714284</c:v>
                </c:pt>
                <c:pt idx="9">
                  <c:v>3165.5</c:v>
                </c:pt>
                <c:pt idx="10">
                  <c:v>712</c:v>
                </c:pt>
                <c:pt idx="11">
                  <c:v>4684</c:v>
                </c:pt>
                <c:pt idx="12">
                  <c:v>3233.3333333333335</c:v>
                </c:pt>
                <c:pt idx="13">
                  <c:v>2773.2</c:v>
                </c:pt>
                <c:pt idx="14">
                  <c:v>1843.5</c:v>
                </c:pt>
              </c:numCache>
            </c:numRef>
          </c:val>
          <c:smooth val="0"/>
          <c:extLst>
            <c:ext xmlns:c16="http://schemas.microsoft.com/office/drawing/2014/chart" uri="{C3380CC4-5D6E-409C-BE32-E72D297353CC}">
              <c16:uniqueId val="{00000009-9F76-4DCD-800E-5B911131854D}"/>
            </c:ext>
          </c:extLst>
        </c:ser>
        <c:ser>
          <c:idx val="1"/>
          <c:order val="1"/>
          <c:tx>
            <c:strRef>
              <c:f>Sheet1!$J$3:$J$4</c:f>
              <c:strCache>
                <c:ptCount val="1"/>
                <c:pt idx="0">
                  <c:v>Electric</c:v>
                </c:pt>
              </c:strCache>
            </c:strRef>
          </c:tx>
          <c:spPr>
            <a:ln w="28575" cap="rnd">
              <a:solidFill>
                <a:srgbClr val="1F4E99"/>
              </a:solidFill>
              <a:round/>
            </a:ln>
            <a:effectLst/>
          </c:spPr>
          <c:marker>
            <c:symbol val="none"/>
          </c:marker>
          <c:dPt>
            <c:idx val="0"/>
            <c:marker>
              <c:symbol val="none"/>
            </c:marker>
            <c:bubble3D val="0"/>
            <c:spPr>
              <a:ln w="28575" cap="rnd">
                <a:solidFill>
                  <a:srgbClr val="1F4E99"/>
                </a:solidFill>
                <a:round/>
              </a:ln>
              <a:effectLst/>
            </c:spPr>
            <c:extLst>
              <c:ext xmlns:c16="http://schemas.microsoft.com/office/drawing/2014/chart" uri="{C3380CC4-5D6E-409C-BE32-E72D297353CC}">
                <c16:uniqueId val="{00000019-B038-48C6-AAB8-EDA7702004B6}"/>
              </c:ext>
            </c:extLst>
          </c:dPt>
          <c:dPt>
            <c:idx val="1"/>
            <c:marker>
              <c:symbol val="none"/>
            </c:marker>
            <c:bubble3D val="0"/>
            <c:spPr>
              <a:ln w="28575" cap="rnd">
                <a:solidFill>
                  <a:srgbClr val="1F4E99"/>
                </a:solidFill>
                <a:round/>
              </a:ln>
              <a:effectLst/>
            </c:spPr>
            <c:extLst>
              <c:ext xmlns:c16="http://schemas.microsoft.com/office/drawing/2014/chart" uri="{C3380CC4-5D6E-409C-BE32-E72D297353CC}">
                <c16:uniqueId val="{0000001B-B038-48C6-AAB8-EDA7702004B6}"/>
              </c:ext>
            </c:extLst>
          </c:dPt>
          <c:dPt>
            <c:idx val="2"/>
            <c:marker>
              <c:symbol val="none"/>
            </c:marker>
            <c:bubble3D val="0"/>
            <c:spPr>
              <a:ln w="28575" cap="rnd">
                <a:solidFill>
                  <a:srgbClr val="1F4E99"/>
                </a:solidFill>
                <a:round/>
              </a:ln>
              <a:effectLst/>
            </c:spPr>
            <c:extLst>
              <c:ext xmlns:c16="http://schemas.microsoft.com/office/drawing/2014/chart" uri="{C3380CC4-5D6E-409C-BE32-E72D297353CC}">
                <c16:uniqueId val="{0000001D-B038-48C6-AAB8-EDA7702004B6}"/>
              </c:ext>
            </c:extLst>
          </c:dPt>
          <c:dPt>
            <c:idx val="6"/>
            <c:marker>
              <c:symbol val="none"/>
            </c:marker>
            <c:bubble3D val="0"/>
            <c:spPr>
              <a:ln w="28575" cap="rnd">
                <a:solidFill>
                  <a:srgbClr val="1F4E99"/>
                </a:solidFill>
                <a:round/>
              </a:ln>
              <a:effectLst/>
            </c:spPr>
            <c:extLst>
              <c:ext xmlns:c16="http://schemas.microsoft.com/office/drawing/2014/chart" uri="{C3380CC4-5D6E-409C-BE32-E72D297353CC}">
                <c16:uniqueId val="{0000001F-B038-48C6-AAB8-EDA7702004B6}"/>
              </c:ext>
            </c:extLst>
          </c:dPt>
          <c:dPt>
            <c:idx val="7"/>
            <c:marker>
              <c:symbol val="none"/>
            </c:marker>
            <c:bubble3D val="0"/>
            <c:spPr>
              <a:ln w="28575" cap="rnd">
                <a:solidFill>
                  <a:srgbClr val="1F4E99"/>
                </a:solidFill>
                <a:round/>
              </a:ln>
              <a:effectLst/>
            </c:spPr>
            <c:extLst>
              <c:ext xmlns:c16="http://schemas.microsoft.com/office/drawing/2014/chart" uri="{C3380CC4-5D6E-409C-BE32-E72D297353CC}">
                <c16:uniqueId val="{00000021-B038-48C6-AAB8-EDA7702004B6}"/>
              </c:ext>
            </c:extLst>
          </c:dPt>
          <c:dPt>
            <c:idx val="8"/>
            <c:marker>
              <c:symbol val="none"/>
            </c:marker>
            <c:bubble3D val="0"/>
            <c:spPr>
              <a:ln w="28575" cap="rnd">
                <a:solidFill>
                  <a:srgbClr val="1F4E99"/>
                </a:solidFill>
                <a:round/>
              </a:ln>
              <a:effectLst/>
            </c:spPr>
            <c:extLst>
              <c:ext xmlns:c16="http://schemas.microsoft.com/office/drawing/2014/chart" uri="{C3380CC4-5D6E-409C-BE32-E72D297353CC}">
                <c16:uniqueId val="{00000023-B038-48C6-AAB8-EDA7702004B6}"/>
              </c:ext>
            </c:extLst>
          </c:dPt>
          <c:dPt>
            <c:idx val="9"/>
            <c:marker>
              <c:symbol val="none"/>
            </c:marker>
            <c:bubble3D val="0"/>
            <c:spPr>
              <a:ln w="28575" cap="rnd">
                <a:solidFill>
                  <a:srgbClr val="1F4E99"/>
                </a:solidFill>
                <a:round/>
              </a:ln>
              <a:effectLst/>
            </c:spPr>
            <c:extLst>
              <c:ext xmlns:c16="http://schemas.microsoft.com/office/drawing/2014/chart" uri="{C3380CC4-5D6E-409C-BE32-E72D297353CC}">
                <c16:uniqueId val="{00000025-B038-48C6-AAB8-EDA7702004B6}"/>
              </c:ext>
            </c:extLst>
          </c:dPt>
          <c:dPt>
            <c:idx val="10"/>
            <c:marker>
              <c:symbol val="none"/>
            </c:marker>
            <c:bubble3D val="0"/>
            <c:spPr>
              <a:ln w="28575" cap="rnd">
                <a:solidFill>
                  <a:srgbClr val="1F4E99"/>
                </a:solidFill>
                <a:round/>
              </a:ln>
              <a:effectLst/>
            </c:spPr>
            <c:extLst>
              <c:ext xmlns:c16="http://schemas.microsoft.com/office/drawing/2014/chart" uri="{C3380CC4-5D6E-409C-BE32-E72D297353CC}">
                <c16:uniqueId val="{00000027-B038-48C6-AAB8-EDA7702004B6}"/>
              </c:ext>
            </c:extLst>
          </c:dPt>
          <c:dPt>
            <c:idx val="11"/>
            <c:marker>
              <c:symbol val="none"/>
            </c:marker>
            <c:bubble3D val="0"/>
            <c:spPr>
              <a:ln w="28575" cap="rnd">
                <a:solidFill>
                  <a:srgbClr val="1F4E99"/>
                </a:solidFill>
                <a:round/>
              </a:ln>
              <a:effectLst/>
            </c:spPr>
            <c:extLst>
              <c:ext xmlns:c16="http://schemas.microsoft.com/office/drawing/2014/chart" uri="{C3380CC4-5D6E-409C-BE32-E72D297353CC}">
                <c16:uniqueId val="{00000029-B038-48C6-AAB8-EDA7702004B6}"/>
              </c:ext>
            </c:extLst>
          </c:dPt>
          <c:dPt>
            <c:idx val="12"/>
            <c:marker>
              <c:symbol val="none"/>
            </c:marker>
            <c:bubble3D val="0"/>
            <c:spPr>
              <a:ln w="28575" cap="rnd">
                <a:solidFill>
                  <a:srgbClr val="1F4E99"/>
                </a:solidFill>
                <a:round/>
              </a:ln>
              <a:effectLst/>
            </c:spPr>
            <c:extLst>
              <c:ext xmlns:c16="http://schemas.microsoft.com/office/drawing/2014/chart" uri="{C3380CC4-5D6E-409C-BE32-E72D297353CC}">
                <c16:uniqueId val="{0000002B-B038-48C6-AAB8-EDA7702004B6}"/>
              </c:ext>
            </c:extLst>
          </c:dPt>
          <c:dPt>
            <c:idx val="14"/>
            <c:marker>
              <c:symbol val="none"/>
            </c:marker>
            <c:bubble3D val="0"/>
            <c:spPr>
              <a:ln w="28575" cap="rnd">
                <a:solidFill>
                  <a:srgbClr val="1F4E99"/>
                </a:solidFill>
                <a:round/>
              </a:ln>
              <a:effectLst/>
            </c:spPr>
            <c:extLst>
              <c:ext xmlns:c16="http://schemas.microsoft.com/office/drawing/2014/chart" uri="{C3380CC4-5D6E-409C-BE32-E72D297353CC}">
                <c16:uniqueId val="{0000002D-B038-48C6-AAB8-EDA7702004B6}"/>
              </c:ext>
            </c:extLst>
          </c:dPt>
          <c:dLbls>
            <c:dLbl>
              <c:idx val="6"/>
              <c:layout>
                <c:manualLayout>
                  <c:x val="-3.7311497782326904E-2"/>
                  <c:y val="-2.3547772050950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B038-48C6-AAB8-EDA7702004B6}"/>
                </c:ext>
              </c:extLst>
            </c:dLbl>
            <c:dLbl>
              <c:idx val="7"/>
              <c:layout>
                <c:manualLayout>
                  <c:x val="-2.4046400545888774E-2"/>
                  <c:y val="-3.21222600459917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B038-48C6-AAB8-EDA7702004B6}"/>
                </c:ext>
              </c:extLst>
            </c:dLbl>
            <c:dLbl>
              <c:idx val="8"/>
              <c:layout>
                <c:manualLayout>
                  <c:x val="-4.1787785738655749E-2"/>
                  <c:y val="3.21863999168207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B038-48C6-AAB8-EDA7702004B6}"/>
                </c:ext>
              </c:extLst>
            </c:dLbl>
            <c:dLbl>
              <c:idx val="9"/>
              <c:layout>
                <c:manualLayout>
                  <c:x val="-2.6775844421699078E-2"/>
                  <c:y val="4.07608879118623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B038-48C6-AAB8-EDA7702004B6}"/>
                </c:ext>
              </c:extLst>
            </c:dLbl>
            <c:dLbl>
              <c:idx val="11"/>
              <c:layout>
                <c:manualLayout>
                  <c:x val="-9.0344592289321058E-3"/>
                  <c:y val="-2.78350160484709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B038-48C6-AAB8-EDA7702004B6}"/>
                </c:ext>
              </c:extLst>
            </c:dLbl>
            <c:dLbl>
              <c:idx val="12"/>
              <c:layout>
                <c:manualLayout>
                  <c:x val="-3.0870010235414535E-2"/>
                  <c:y val="4.50481319093831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038-48C6-AAB8-EDA7702004B6}"/>
                </c:ext>
              </c:extLst>
            </c:dLbl>
            <c:dLbl>
              <c:idx val="14"/>
              <c:layout>
                <c:manualLayout>
                  <c:x val="-4.8990293818185725E-4"/>
                  <c:y val="-6.398796060866868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038-48C6-AAB8-EDA7702004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Sheet1!$J$5:$J$20</c:f>
              <c:numCache>
                <c:formatCode>0</c:formatCode>
                <c:ptCount val="15"/>
                <c:pt idx="0">
                  <c:v>2425.4</c:v>
                </c:pt>
                <c:pt idx="1">
                  <c:v>2554.1999999999998</c:v>
                </c:pt>
                <c:pt idx="2">
                  <c:v>2077.1999999999998</c:v>
                </c:pt>
                <c:pt idx="3">
                  <c:v>3169</c:v>
                </c:pt>
                <c:pt idx="4">
                  <c:v>2882.5</c:v>
                </c:pt>
                <c:pt idx="5">
                  <c:v>4025</c:v>
                </c:pt>
                <c:pt idx="6">
                  <c:v>519</c:v>
                </c:pt>
                <c:pt idx="7">
                  <c:v>2416</c:v>
                </c:pt>
                <c:pt idx="8">
                  <c:v>2416</c:v>
                </c:pt>
                <c:pt idx="9">
                  <c:v>2721.5</c:v>
                </c:pt>
                <c:pt idx="10">
                  <c:v>2550</c:v>
                </c:pt>
                <c:pt idx="11">
                  <c:v>2858</c:v>
                </c:pt>
                <c:pt idx="12">
                  <c:v>2521.75</c:v>
                </c:pt>
                <c:pt idx="13">
                  <c:v>1240</c:v>
                </c:pt>
                <c:pt idx="14">
                  <c:v>2156.75</c:v>
                </c:pt>
              </c:numCache>
            </c:numRef>
          </c:val>
          <c:smooth val="0"/>
          <c:extLst>
            <c:ext xmlns:c16="http://schemas.microsoft.com/office/drawing/2014/chart" uri="{C3380CC4-5D6E-409C-BE32-E72D297353CC}">
              <c16:uniqueId val="{0000005B-B4F8-4F49-A1F8-F888336F024F}"/>
            </c:ext>
          </c:extLst>
        </c:ser>
        <c:ser>
          <c:idx val="2"/>
          <c:order val="2"/>
          <c:tx>
            <c:strRef>
              <c:f>Sheet1!$K$3:$K$4</c:f>
              <c:strCache>
                <c:ptCount val="1"/>
                <c:pt idx="0">
                  <c:v>Hybrid</c:v>
                </c:pt>
              </c:strCache>
            </c:strRef>
          </c:tx>
          <c:spPr>
            <a:ln w="28575" cap="rnd">
              <a:solidFill>
                <a:srgbClr val="D32F2F"/>
              </a:solidFill>
              <a:round/>
            </a:ln>
            <a:effectLst/>
          </c:spPr>
          <c:marker>
            <c:symbol val="none"/>
          </c:marker>
          <c:dPt>
            <c:idx val="0"/>
            <c:marker>
              <c:symbol val="none"/>
            </c:marker>
            <c:bubble3D val="0"/>
            <c:spPr>
              <a:ln w="28575" cap="rnd">
                <a:solidFill>
                  <a:srgbClr val="D32F2F"/>
                </a:solidFill>
                <a:round/>
              </a:ln>
              <a:effectLst/>
            </c:spPr>
            <c:extLst>
              <c:ext xmlns:c16="http://schemas.microsoft.com/office/drawing/2014/chart" uri="{C3380CC4-5D6E-409C-BE32-E72D297353CC}">
                <c16:uniqueId val="{0000002F-B038-48C6-AAB8-EDA7702004B6}"/>
              </c:ext>
            </c:extLst>
          </c:dPt>
          <c:dPt>
            <c:idx val="1"/>
            <c:marker>
              <c:symbol val="none"/>
            </c:marker>
            <c:bubble3D val="0"/>
            <c:spPr>
              <a:ln w="28575" cap="rnd">
                <a:solidFill>
                  <a:srgbClr val="D32F2F"/>
                </a:solidFill>
                <a:round/>
              </a:ln>
              <a:effectLst/>
            </c:spPr>
            <c:extLst>
              <c:ext xmlns:c16="http://schemas.microsoft.com/office/drawing/2014/chart" uri="{C3380CC4-5D6E-409C-BE32-E72D297353CC}">
                <c16:uniqueId val="{00000031-B038-48C6-AAB8-EDA7702004B6}"/>
              </c:ext>
            </c:extLst>
          </c:dPt>
          <c:dPt>
            <c:idx val="7"/>
            <c:marker>
              <c:symbol val="none"/>
            </c:marker>
            <c:bubble3D val="0"/>
            <c:spPr>
              <a:ln w="28575" cap="rnd">
                <a:solidFill>
                  <a:srgbClr val="D32F2F"/>
                </a:solidFill>
                <a:round/>
              </a:ln>
              <a:effectLst/>
            </c:spPr>
            <c:extLst>
              <c:ext xmlns:c16="http://schemas.microsoft.com/office/drawing/2014/chart" uri="{C3380CC4-5D6E-409C-BE32-E72D297353CC}">
                <c16:uniqueId val="{00000069-B4F8-4F49-A1F8-F888336F024F}"/>
              </c:ext>
            </c:extLst>
          </c:dPt>
          <c:dPt>
            <c:idx val="8"/>
            <c:marker>
              <c:symbol val="none"/>
            </c:marker>
            <c:bubble3D val="0"/>
            <c:spPr>
              <a:ln w="28575" cap="rnd">
                <a:solidFill>
                  <a:srgbClr val="D32F2F"/>
                </a:solidFill>
                <a:round/>
              </a:ln>
              <a:effectLst/>
            </c:spPr>
            <c:extLst>
              <c:ext xmlns:c16="http://schemas.microsoft.com/office/drawing/2014/chart" uri="{C3380CC4-5D6E-409C-BE32-E72D297353CC}">
                <c16:uniqueId val="{00000035-B038-48C6-AAB8-EDA7702004B6}"/>
              </c:ext>
            </c:extLst>
          </c:dPt>
          <c:dPt>
            <c:idx val="10"/>
            <c:marker>
              <c:symbol val="none"/>
            </c:marker>
            <c:bubble3D val="0"/>
            <c:spPr>
              <a:ln w="28575" cap="rnd">
                <a:solidFill>
                  <a:srgbClr val="D32F2F"/>
                </a:solidFill>
                <a:round/>
              </a:ln>
              <a:effectLst/>
            </c:spPr>
            <c:extLst>
              <c:ext xmlns:c16="http://schemas.microsoft.com/office/drawing/2014/chart" uri="{C3380CC4-5D6E-409C-BE32-E72D297353CC}">
                <c16:uniqueId val="{00000037-B038-48C6-AAB8-EDA7702004B6}"/>
              </c:ext>
            </c:extLst>
          </c:dPt>
          <c:dPt>
            <c:idx val="12"/>
            <c:marker>
              <c:symbol val="none"/>
            </c:marker>
            <c:bubble3D val="0"/>
            <c:spPr>
              <a:ln w="28575" cap="rnd">
                <a:solidFill>
                  <a:srgbClr val="D32F2F"/>
                </a:solidFill>
                <a:round/>
              </a:ln>
              <a:effectLst/>
            </c:spPr>
            <c:extLst>
              <c:ext xmlns:c16="http://schemas.microsoft.com/office/drawing/2014/chart" uri="{C3380CC4-5D6E-409C-BE32-E72D297353CC}">
                <c16:uniqueId val="{00000039-B038-48C6-AAB8-EDA7702004B6}"/>
              </c:ext>
            </c:extLst>
          </c:dPt>
          <c:dPt>
            <c:idx val="13"/>
            <c:marker>
              <c:symbol val="none"/>
            </c:marker>
            <c:bubble3D val="0"/>
            <c:spPr>
              <a:ln w="28575" cap="rnd">
                <a:solidFill>
                  <a:srgbClr val="D32F2F"/>
                </a:solidFill>
                <a:round/>
              </a:ln>
              <a:effectLst/>
            </c:spPr>
            <c:extLst>
              <c:ext xmlns:c16="http://schemas.microsoft.com/office/drawing/2014/chart" uri="{C3380CC4-5D6E-409C-BE32-E72D297353CC}">
                <c16:uniqueId val="{0000003B-B038-48C6-AAB8-EDA7702004B6}"/>
              </c:ext>
            </c:extLst>
          </c:dPt>
          <c:dLbls>
            <c:dLbl>
              <c:idx val="1"/>
              <c:layout>
                <c:manualLayout>
                  <c:x val="-2.5411122483793926E-2"/>
                  <c:y val="3.647364391434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B038-48C6-AAB8-EDA7702004B6}"/>
                </c:ext>
              </c:extLst>
            </c:dLbl>
            <c:dLbl>
              <c:idx val="7"/>
              <c:layout>
                <c:manualLayout>
                  <c:x val="-1.5858068918457865E-2"/>
                  <c:y val="-4.0696748041033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9-B4F8-4F49-A1F8-F888336F024F}"/>
                </c:ext>
              </c:extLst>
            </c:dLbl>
            <c:dLbl>
              <c:idx val="8"/>
              <c:layout>
                <c:manualLayout>
                  <c:x val="-3.4964176049129991E-2"/>
                  <c:y val="-4.4983992038554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B038-48C6-AAB8-EDA7702004B6}"/>
                </c:ext>
              </c:extLst>
            </c:dLbl>
            <c:dLbl>
              <c:idx val="10"/>
              <c:layout>
                <c:manualLayout>
                  <c:x val="-1.1763903104742408E-2"/>
                  <c:y val="-3.6409504043512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B038-48C6-AAB8-EDA7702004B6}"/>
                </c:ext>
              </c:extLst>
            </c:dLbl>
            <c:dLbl>
              <c:idx val="12"/>
              <c:layout>
                <c:manualLayout>
                  <c:x val="-2.5411122483793926E-2"/>
                  <c:y val="-3.2122260045991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B038-48C6-AAB8-EDA7702004B6}"/>
                </c:ext>
              </c:extLst>
            </c:dLbl>
            <c:dLbl>
              <c:idx val="13"/>
              <c:layout>
                <c:manualLayout>
                  <c:x val="-3.4964176049130088E-2"/>
                  <c:y val="-4.4983992038554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B038-48C6-AAB8-EDA7702004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Sheet1!$K$5:$K$20</c:f>
              <c:numCache>
                <c:formatCode>0</c:formatCode>
                <c:ptCount val="15"/>
                <c:pt idx="0">
                  <c:v>3139.3333333333335</c:v>
                </c:pt>
                <c:pt idx="1">
                  <c:v>2416</c:v>
                </c:pt>
                <c:pt idx="2">
                  <c:v>3065.6666666666665</c:v>
                </c:pt>
                <c:pt idx="3">
                  <c:v>1521.3333333333333</c:v>
                </c:pt>
                <c:pt idx="4">
                  <c:v>3138.2</c:v>
                </c:pt>
                <c:pt idx="5">
                  <c:v>1561.6666666666667</c:v>
                </c:pt>
                <c:pt idx="6">
                  <c:v>2897.25</c:v>
                </c:pt>
                <c:pt idx="7">
                  <c:v>3028</c:v>
                </c:pt>
                <c:pt idx="8">
                  <c:v>2568.1999999999998</c:v>
                </c:pt>
                <c:pt idx="9">
                  <c:v>4214</c:v>
                </c:pt>
                <c:pt idx="10">
                  <c:v>2213.6</c:v>
                </c:pt>
                <c:pt idx="11">
                  <c:v>1976</c:v>
                </c:pt>
                <c:pt idx="12">
                  <c:v>2590</c:v>
                </c:pt>
                <c:pt idx="13">
                  <c:v>2416</c:v>
                </c:pt>
                <c:pt idx="14">
                  <c:v>3264.6666666666665</c:v>
                </c:pt>
              </c:numCache>
            </c:numRef>
          </c:val>
          <c:smooth val="0"/>
          <c:extLst>
            <c:ext xmlns:c16="http://schemas.microsoft.com/office/drawing/2014/chart" uri="{C3380CC4-5D6E-409C-BE32-E72D297353CC}">
              <c16:uniqueId val="{00000066-B4F8-4F49-A1F8-F888336F024F}"/>
            </c:ext>
          </c:extLst>
        </c:ser>
        <c:ser>
          <c:idx val="3"/>
          <c:order val="3"/>
          <c:tx>
            <c:strRef>
              <c:f>Sheet1!$L$3:$L$4</c:f>
              <c:strCache>
                <c:ptCount val="1"/>
                <c:pt idx="0">
                  <c:v>Petrol</c:v>
                </c:pt>
              </c:strCache>
            </c:strRef>
          </c:tx>
          <c:spPr>
            <a:ln w="28575" cap="rnd">
              <a:solidFill>
                <a:schemeClr val="accent4"/>
              </a:solidFill>
              <a:round/>
            </a:ln>
            <a:effectLst/>
          </c:spPr>
          <c:marker>
            <c:symbol val="none"/>
          </c:marker>
          <c:dPt>
            <c:idx val="0"/>
            <c:marker>
              <c:symbol val="none"/>
            </c:marker>
            <c:bubble3D val="0"/>
            <c:spPr>
              <a:ln w="28575" cap="rnd">
                <a:solidFill>
                  <a:schemeClr val="accent4"/>
                </a:solidFill>
                <a:round/>
              </a:ln>
              <a:effectLst/>
            </c:spPr>
            <c:extLst>
              <c:ext xmlns:c16="http://schemas.microsoft.com/office/drawing/2014/chart" uri="{C3380CC4-5D6E-409C-BE32-E72D297353CC}">
                <c16:uniqueId val="{0000006C-B4F8-4F49-A1F8-F888336F024F}"/>
              </c:ext>
            </c:extLst>
          </c:dPt>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6B-B4F8-4F49-A1F8-F888336F024F}"/>
              </c:ext>
            </c:extLst>
          </c:dPt>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41-B038-48C6-AAB8-EDA7702004B6}"/>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43-B038-48C6-AAB8-EDA7702004B6}"/>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6A-B4F8-4F49-A1F8-F888336F024F}"/>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68-B4F8-4F49-A1F8-F888336F024F}"/>
              </c:ext>
            </c:extLst>
          </c:dPt>
          <c:dPt>
            <c:idx val="9"/>
            <c:marker>
              <c:symbol val="none"/>
            </c:marker>
            <c:bubble3D val="0"/>
            <c:spPr>
              <a:ln w="28575" cap="rnd">
                <a:solidFill>
                  <a:schemeClr val="accent4"/>
                </a:solidFill>
                <a:round/>
              </a:ln>
              <a:effectLst/>
            </c:spPr>
            <c:extLst>
              <c:ext xmlns:c16="http://schemas.microsoft.com/office/drawing/2014/chart" uri="{C3380CC4-5D6E-409C-BE32-E72D297353CC}">
                <c16:uniqueId val="{00000049-B038-48C6-AAB8-EDA7702004B6}"/>
              </c:ext>
            </c:extLst>
          </c:dPt>
          <c:dPt>
            <c:idx val="14"/>
            <c:marker>
              <c:symbol val="none"/>
            </c:marker>
            <c:bubble3D val="0"/>
            <c:spPr>
              <a:ln w="28575" cap="rnd">
                <a:solidFill>
                  <a:schemeClr val="accent4"/>
                </a:solidFill>
                <a:round/>
              </a:ln>
              <a:effectLst/>
            </c:spPr>
            <c:extLst>
              <c:ext xmlns:c16="http://schemas.microsoft.com/office/drawing/2014/chart" uri="{C3380CC4-5D6E-409C-BE32-E72D297353CC}">
                <c16:uniqueId val="{0000004B-B038-48C6-AAB8-EDA7702004B6}"/>
              </c:ext>
            </c:extLst>
          </c:dPt>
          <c:dLbls>
            <c:dLbl>
              <c:idx val="0"/>
              <c:layout>
                <c:manualLayout>
                  <c:x val="-9.0344592289321058E-3"/>
                  <c:y val="-4.0696748041033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C-B4F8-4F49-A1F8-F888336F024F}"/>
                </c:ext>
              </c:extLst>
            </c:dLbl>
            <c:dLbl>
              <c:idx val="1"/>
              <c:layout>
                <c:manualLayout>
                  <c:x val="-3.0870010235414535E-2"/>
                  <c:y val="-9.6430920008804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B-B4F8-4F49-A1F8-F888336F024F}"/>
                </c:ext>
              </c:extLst>
            </c:dLbl>
            <c:dLbl>
              <c:idx val="2"/>
              <c:layout>
                <c:manualLayout>
                  <c:x val="-2.8140566359604231E-2"/>
                  <c:y val="-3.6409504043512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B038-48C6-AAB8-EDA7702004B6}"/>
                </c:ext>
              </c:extLst>
            </c:dLbl>
            <c:dLbl>
              <c:idx val="4"/>
              <c:layout>
                <c:manualLayout>
                  <c:x val="-2.4046400545888826E-2"/>
                  <c:y val="4.50481319093831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B038-48C6-AAB8-EDA7702004B6}"/>
                </c:ext>
              </c:extLst>
            </c:dLbl>
            <c:dLbl>
              <c:idx val="7"/>
              <c:layout>
                <c:manualLayout>
                  <c:x val="-4.4517229614466053E-2"/>
                  <c:y val="1.932466792425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A-B4F8-4F49-A1F8-F888336F024F}"/>
                </c:ext>
              </c:extLst>
            </c:dLbl>
            <c:dLbl>
              <c:idx val="8"/>
              <c:layout>
                <c:manualLayout>
                  <c:x val="-1.8587512794268169E-2"/>
                  <c:y val="7.50588398920289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8-B4F8-4F49-A1F8-F888336F024F}"/>
                </c:ext>
              </c:extLst>
            </c:dLbl>
            <c:dLbl>
              <c:idx val="9"/>
              <c:layout>
                <c:manualLayout>
                  <c:x val="-4.7246673490276357E-2"/>
                  <c:y val="6.462935931695763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B038-48C6-AAB8-EDA7702004B6}"/>
                </c:ext>
              </c:extLst>
            </c:dLbl>
            <c:dLbl>
              <c:idx val="14"/>
              <c:layout>
                <c:manualLayout>
                  <c:x val="-2.5054897820474591E-2"/>
                  <c:y val="-0.10071816400632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B038-48C6-AAB8-EDA7702004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Sheet1!$H$5:$H$20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Sheet1!$L$5:$L$20</c:f>
              <c:numCache>
                <c:formatCode>0</c:formatCode>
                <c:ptCount val="15"/>
                <c:pt idx="0">
                  <c:v>3855.3333333333335</c:v>
                </c:pt>
                <c:pt idx="1">
                  <c:v>2583</c:v>
                </c:pt>
                <c:pt idx="2">
                  <c:v>2566.5</c:v>
                </c:pt>
                <c:pt idx="3">
                  <c:v>2258.75</c:v>
                </c:pt>
                <c:pt idx="4">
                  <c:v>2835.6666666666665</c:v>
                </c:pt>
                <c:pt idx="5">
                  <c:v>2318.75</c:v>
                </c:pt>
                <c:pt idx="6">
                  <c:v>1613</c:v>
                </c:pt>
                <c:pt idx="7">
                  <c:v>2932.25</c:v>
                </c:pt>
                <c:pt idx="8">
                  <c:v>2416</c:v>
                </c:pt>
                <c:pt idx="9">
                  <c:v>3232</c:v>
                </c:pt>
                <c:pt idx="10">
                  <c:v>1446</c:v>
                </c:pt>
                <c:pt idx="11">
                  <c:v>3188</c:v>
                </c:pt>
                <c:pt idx="12">
                  <c:v>3490</c:v>
                </c:pt>
                <c:pt idx="13">
                  <c:v>3176.2</c:v>
                </c:pt>
                <c:pt idx="14">
                  <c:v>1996.6666666666667</c:v>
                </c:pt>
              </c:numCache>
            </c:numRef>
          </c:val>
          <c:smooth val="0"/>
          <c:extLst>
            <c:ext xmlns:c16="http://schemas.microsoft.com/office/drawing/2014/chart" uri="{C3380CC4-5D6E-409C-BE32-E72D297353CC}">
              <c16:uniqueId val="{00000067-B4F8-4F49-A1F8-F888336F024F}"/>
            </c:ext>
          </c:extLst>
        </c:ser>
        <c:dLbls>
          <c:dLblPos val="t"/>
          <c:showLegendKey val="0"/>
          <c:showVal val="1"/>
          <c:showCatName val="0"/>
          <c:showSerName val="0"/>
          <c:showPercent val="0"/>
          <c:showBubbleSize val="0"/>
        </c:dLbls>
        <c:smooth val="0"/>
        <c:axId val="129232159"/>
        <c:axId val="129232639"/>
      </c:lineChart>
      <c:catAx>
        <c:axId val="129232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232639"/>
        <c:crosses val="autoZero"/>
        <c:auto val="1"/>
        <c:lblAlgn val="ctr"/>
        <c:lblOffset val="100"/>
        <c:noMultiLvlLbl val="0"/>
      </c:catAx>
      <c:valAx>
        <c:axId val="129232639"/>
        <c:scaling>
          <c:orientation val="minMax"/>
        </c:scaling>
        <c:delete val="1"/>
        <c:axPos val="l"/>
        <c:numFmt formatCode="0" sourceLinked="1"/>
        <c:majorTickMark val="out"/>
        <c:minorTickMark val="none"/>
        <c:tickLblPos val="nextTo"/>
        <c:crossAx val="129232159"/>
        <c:crosses val="autoZero"/>
        <c:crossBetween val="between"/>
      </c:valAx>
      <c:spPr>
        <a:noFill/>
        <a:ln w="25400">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30160354827703856"/>
          <c:y val="0.85710480724956084"/>
          <c:w val="0.44930772599177404"/>
          <c:h val="6.14375567975435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Sales Classification Distribution by Fuel Type</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FE2"/>
          </a:solidFill>
          <a:ln>
            <a:solidFill>
              <a:srgbClr val="00AFE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AFE2"/>
          </a:solidFill>
          <a:ln>
            <a:solidFill>
              <a:srgbClr val="00AFE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FE2"/>
          </a:solidFill>
          <a:ln>
            <a:solidFill>
              <a:srgbClr val="00AFE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pivotFmt>
      <c:pivotFmt>
        <c:idx val="28"/>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3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AF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90309602303169E-3"/>
          <c:y val="0.10420967519382583"/>
          <c:w val="0.99000699307050299"/>
          <c:h val="0.78257710538752834"/>
        </c:manualLayout>
      </c:layout>
      <c:barChart>
        <c:barDir val="col"/>
        <c:grouping val="clustered"/>
        <c:varyColors val="0"/>
        <c:ser>
          <c:idx val="0"/>
          <c:order val="0"/>
          <c:tx>
            <c:strRef>
              <c:f>Sheet1!$AF$3:$AF$4</c:f>
              <c:strCache>
                <c:ptCount val="1"/>
                <c:pt idx="0">
                  <c:v>High</c:v>
                </c:pt>
              </c:strCache>
            </c:strRef>
          </c:tx>
          <c:spPr>
            <a:solidFill>
              <a:srgbClr val="00AFE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Sheet1!$AF$5:$AF$9</c:f>
              <c:numCache>
                <c:formatCode>General</c:formatCode>
                <c:ptCount val="4"/>
                <c:pt idx="0">
                  <c:v>11</c:v>
                </c:pt>
                <c:pt idx="1">
                  <c:v>21</c:v>
                </c:pt>
                <c:pt idx="2">
                  <c:v>16</c:v>
                </c:pt>
                <c:pt idx="3">
                  <c:v>10</c:v>
                </c:pt>
              </c:numCache>
            </c:numRef>
          </c:val>
          <c:extLst>
            <c:ext xmlns:c16="http://schemas.microsoft.com/office/drawing/2014/chart" uri="{C3380CC4-5D6E-409C-BE32-E72D297353CC}">
              <c16:uniqueId val="{00000000-B392-4DD0-B3FC-781F57C42CCB}"/>
            </c:ext>
          </c:extLst>
        </c:ser>
        <c:ser>
          <c:idx val="1"/>
          <c:order val="1"/>
          <c:tx>
            <c:strRef>
              <c:f>Sheet1!$AG$3:$AG$4</c:f>
              <c:strCache>
                <c:ptCount val="1"/>
                <c:pt idx="0">
                  <c:v>Low</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Sheet1!$AG$5:$AG$9</c:f>
              <c:numCache>
                <c:formatCode>General</c:formatCode>
                <c:ptCount val="4"/>
                <c:pt idx="0">
                  <c:v>19</c:v>
                </c:pt>
                <c:pt idx="1">
                  <c:v>10</c:v>
                </c:pt>
                <c:pt idx="2">
                  <c:v>15</c:v>
                </c:pt>
                <c:pt idx="3">
                  <c:v>18</c:v>
                </c:pt>
              </c:numCache>
            </c:numRef>
          </c:val>
          <c:extLst>
            <c:ext xmlns:c16="http://schemas.microsoft.com/office/drawing/2014/chart" uri="{C3380CC4-5D6E-409C-BE32-E72D297353CC}">
              <c16:uniqueId val="{0000000E-1D52-4FBF-BDAD-8ED4DC00163C}"/>
            </c:ext>
          </c:extLst>
        </c:ser>
        <c:ser>
          <c:idx val="2"/>
          <c:order val="2"/>
          <c:tx>
            <c:strRef>
              <c:f>Sheet1!$AH$3:$AH$4</c:f>
              <c:strCache>
                <c:ptCount val="1"/>
                <c:pt idx="0">
                  <c:v>Medium</c:v>
                </c:pt>
              </c:strCache>
            </c:strRef>
          </c:tx>
          <c:spPr>
            <a:solidFill>
              <a:srgbClr val="D32F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Sheet1!$AE$5:$AE$9</c:f>
              <c:strCache>
                <c:ptCount val="4"/>
                <c:pt idx="0">
                  <c:v>Diesel</c:v>
                </c:pt>
                <c:pt idx="1">
                  <c:v>Electric</c:v>
                </c:pt>
                <c:pt idx="2">
                  <c:v>Hybrid</c:v>
                </c:pt>
                <c:pt idx="3">
                  <c:v>Petrol</c:v>
                </c:pt>
              </c:strCache>
            </c:strRef>
          </c:cat>
          <c:val>
            <c:numRef>
              <c:f>Sheet1!$AH$5:$AH$9</c:f>
              <c:numCache>
                <c:formatCode>General</c:formatCode>
                <c:ptCount val="4"/>
                <c:pt idx="0">
                  <c:v>16</c:v>
                </c:pt>
                <c:pt idx="1">
                  <c:v>12</c:v>
                </c:pt>
                <c:pt idx="2">
                  <c:v>18</c:v>
                </c:pt>
                <c:pt idx="3">
                  <c:v>14</c:v>
                </c:pt>
              </c:numCache>
            </c:numRef>
          </c:val>
          <c:extLst>
            <c:ext xmlns:c16="http://schemas.microsoft.com/office/drawing/2014/chart" uri="{C3380CC4-5D6E-409C-BE32-E72D297353CC}">
              <c16:uniqueId val="{00000012-1D52-4FBF-BDAD-8ED4DC00163C}"/>
            </c:ext>
          </c:extLst>
        </c:ser>
        <c:dLbls>
          <c:dLblPos val="outEnd"/>
          <c:showLegendKey val="0"/>
          <c:showVal val="1"/>
          <c:showCatName val="0"/>
          <c:showSerName val="0"/>
          <c:showPercent val="0"/>
          <c:showBubbleSize val="0"/>
        </c:dLbls>
        <c:gapWidth val="219"/>
        <c:overlap val="-27"/>
        <c:axId val="1044008463"/>
        <c:axId val="1044008943"/>
      </c:barChart>
      <c:catAx>
        <c:axId val="104400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4008943"/>
        <c:crosses val="autoZero"/>
        <c:auto val="1"/>
        <c:lblAlgn val="ctr"/>
        <c:lblOffset val="100"/>
        <c:noMultiLvlLbl val="0"/>
      </c:catAx>
      <c:valAx>
        <c:axId val="1044008943"/>
        <c:scaling>
          <c:orientation val="minMax"/>
        </c:scaling>
        <c:delete val="1"/>
        <c:axPos val="l"/>
        <c:numFmt formatCode="General" sourceLinked="1"/>
        <c:majorTickMark val="none"/>
        <c:minorTickMark val="none"/>
        <c:tickLblPos val="nextTo"/>
        <c:crossAx val="104400846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30715908781298529"/>
          <c:y val="0.95177701179919572"/>
          <c:w val="0.35996912150687049"/>
          <c:h val="4.82229882008042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Regional Comparison of Average BMW Prices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c:f>
              <c:strCache>
                <c:ptCount val="1"/>
                <c:pt idx="0">
                  <c:v>Total</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Sheet2!$B$3:$B$6</c:f>
              <c:strCache>
                <c:ptCount val="3"/>
                <c:pt idx="0">
                  <c:v>Asia</c:v>
                </c:pt>
                <c:pt idx="1">
                  <c:v>Europe</c:v>
                </c:pt>
                <c:pt idx="2">
                  <c:v>USA</c:v>
                </c:pt>
              </c:strCache>
            </c:strRef>
          </c:cat>
          <c:val>
            <c:numRef>
              <c:f>Sheet2!$C$3:$C$6</c:f>
              <c:numCache>
                <c:formatCode>[$$-409]#,##0</c:formatCode>
                <c:ptCount val="3"/>
                <c:pt idx="0">
                  <c:v>30821.947368421053</c:v>
                </c:pt>
                <c:pt idx="1">
                  <c:v>29976.295081967211</c:v>
                </c:pt>
                <c:pt idx="2">
                  <c:v>29054.725806451614</c:v>
                </c:pt>
              </c:numCache>
            </c:numRef>
          </c:val>
          <c:extLst>
            <c:ext xmlns:c16="http://schemas.microsoft.com/office/drawing/2014/chart" uri="{C3380CC4-5D6E-409C-BE32-E72D297353CC}">
              <c16:uniqueId val="{00000000-D0A7-48D6-AEB6-3E53DF3E1477}"/>
            </c:ext>
          </c:extLst>
        </c:ser>
        <c:dLbls>
          <c:dLblPos val="outEnd"/>
          <c:showLegendKey val="0"/>
          <c:showVal val="1"/>
          <c:showCatName val="0"/>
          <c:showSerName val="0"/>
          <c:showPercent val="0"/>
          <c:showBubbleSize val="0"/>
        </c:dLbls>
        <c:gapWidth val="219"/>
        <c:overlap val="-27"/>
        <c:axId val="667441695"/>
        <c:axId val="667448415"/>
      </c:barChart>
      <c:catAx>
        <c:axId val="6674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7448415"/>
        <c:crosses val="autoZero"/>
        <c:auto val="1"/>
        <c:lblAlgn val="ctr"/>
        <c:lblOffset val="100"/>
        <c:noMultiLvlLbl val="0"/>
      </c:catAx>
      <c:valAx>
        <c:axId val="667448415"/>
        <c:scaling>
          <c:orientation val="minMax"/>
        </c:scaling>
        <c:delete val="1"/>
        <c:axPos val="l"/>
        <c:numFmt formatCode="[$$-409]#,##0" sourceLinked="1"/>
        <c:majorTickMark val="none"/>
        <c:minorTickMark val="none"/>
        <c:tickLblPos val="nextTo"/>
        <c:crossAx val="66744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Trend of Units Sold and Revenue Over Time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2688112750068"/>
          <c:y val="0.16265836843240972"/>
          <c:w val="0.76821189833248182"/>
          <c:h val="0.69471185654591283"/>
        </c:manualLayout>
      </c:layout>
      <c:lineChart>
        <c:grouping val="standard"/>
        <c:varyColors val="0"/>
        <c:ser>
          <c:idx val="1"/>
          <c:order val="1"/>
          <c:tx>
            <c:strRef>
              <c:f>Sheet2!$G$2</c:f>
              <c:strCache>
                <c:ptCount val="1"/>
                <c:pt idx="0">
                  <c:v>Total Units Sold</c:v>
                </c:pt>
              </c:strCache>
            </c:strRef>
          </c:tx>
          <c:spPr>
            <a:ln w="28575" cap="rnd">
              <a:solidFill>
                <a:srgbClr val="D32F2F"/>
              </a:solidFill>
              <a:round/>
            </a:ln>
            <a:effectLst/>
          </c:spPr>
          <c:marker>
            <c:symbol val="none"/>
          </c:marker>
          <c:cat>
            <c:strRef>
              <c:f>Sheet2!$E$3:$E$18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Sheet2!$G$3:$G$18</c:f>
              <c:numCache>
                <c:formatCode>_ * #,##0_ ;_ * \-#,##0_ ;_ * "-"??_ ;_ @_ </c:formatCode>
                <c:ptCount val="15"/>
                <c:pt idx="0">
                  <c:v>36988</c:v>
                </c:pt>
                <c:pt idx="1">
                  <c:v>36560</c:v>
                </c:pt>
                <c:pt idx="2">
                  <c:v>28184</c:v>
                </c:pt>
                <c:pt idx="3">
                  <c:v>29887</c:v>
                </c:pt>
                <c:pt idx="4">
                  <c:v>37644</c:v>
                </c:pt>
                <c:pt idx="5">
                  <c:v>29432</c:v>
                </c:pt>
                <c:pt idx="6">
                  <c:v>30626</c:v>
                </c:pt>
                <c:pt idx="7">
                  <c:v>27426</c:v>
                </c:pt>
                <c:pt idx="8">
                  <c:v>28476</c:v>
                </c:pt>
                <c:pt idx="9">
                  <c:v>41425</c:v>
                </c:pt>
                <c:pt idx="10">
                  <c:v>24872</c:v>
                </c:pt>
                <c:pt idx="11">
                  <c:v>34796</c:v>
                </c:pt>
                <c:pt idx="12">
                  <c:v>33637</c:v>
                </c:pt>
                <c:pt idx="13">
                  <c:v>32227</c:v>
                </c:pt>
                <c:pt idx="14">
                  <c:v>28098</c:v>
                </c:pt>
              </c:numCache>
            </c:numRef>
          </c:val>
          <c:smooth val="0"/>
          <c:extLst>
            <c:ext xmlns:c16="http://schemas.microsoft.com/office/drawing/2014/chart" uri="{C3380CC4-5D6E-409C-BE32-E72D297353CC}">
              <c16:uniqueId val="{00000001-0961-4B61-AC6E-C54AFA930A6F}"/>
            </c:ext>
          </c:extLst>
        </c:ser>
        <c:dLbls>
          <c:showLegendKey val="0"/>
          <c:showVal val="0"/>
          <c:showCatName val="0"/>
          <c:showSerName val="0"/>
          <c:showPercent val="0"/>
          <c:showBubbleSize val="0"/>
        </c:dLbls>
        <c:marker val="1"/>
        <c:smooth val="0"/>
        <c:axId val="954042239"/>
        <c:axId val="954040799"/>
      </c:lineChart>
      <c:lineChart>
        <c:grouping val="standard"/>
        <c:varyColors val="0"/>
        <c:ser>
          <c:idx val="0"/>
          <c:order val="0"/>
          <c:tx>
            <c:strRef>
              <c:f>Sheet2!$F$2</c:f>
              <c:strCache>
                <c:ptCount val="1"/>
                <c:pt idx="0">
                  <c:v>Average of Revenue</c:v>
                </c:pt>
              </c:strCache>
            </c:strRef>
          </c:tx>
          <c:spPr>
            <a:ln w="28575" cap="rnd">
              <a:solidFill>
                <a:schemeClr val="accent1"/>
              </a:solidFill>
              <a:round/>
            </a:ln>
            <a:effectLst/>
          </c:spPr>
          <c:marker>
            <c:symbol val="none"/>
          </c:marker>
          <c:cat>
            <c:strRef>
              <c:f>Sheet2!$E$3:$E$18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Sheet2!$F$3:$F$18</c:f>
              <c:numCache>
                <c:formatCode>_-[$$-540A]* #,##0_ ;_-[$$-540A]* \-#,##0\ ;_-[$$-540A]* "-"_ ;_-@_ </c:formatCode>
                <c:ptCount val="15"/>
                <c:pt idx="0">
                  <c:v>13934045384</c:v>
                </c:pt>
                <c:pt idx="1">
                  <c:v>11725779120</c:v>
                </c:pt>
                <c:pt idx="2">
                  <c:v>10106528744</c:v>
                </c:pt>
                <c:pt idx="3">
                  <c:v>11801509577</c:v>
                </c:pt>
                <c:pt idx="4">
                  <c:v>15862353432</c:v>
                </c:pt>
                <c:pt idx="5">
                  <c:v>10780617848</c:v>
                </c:pt>
                <c:pt idx="6">
                  <c:v>11253646204</c:v>
                </c:pt>
                <c:pt idx="7">
                  <c:v>10200387624</c:v>
                </c:pt>
                <c:pt idx="8">
                  <c:v>9793010304</c:v>
                </c:pt>
                <c:pt idx="9">
                  <c:v>15544482700</c:v>
                </c:pt>
                <c:pt idx="10">
                  <c:v>8671548184</c:v>
                </c:pt>
                <c:pt idx="11">
                  <c:v>11932209524</c:v>
                </c:pt>
                <c:pt idx="12">
                  <c:v>11738371164</c:v>
                </c:pt>
                <c:pt idx="13">
                  <c:v>10796721767</c:v>
                </c:pt>
                <c:pt idx="14">
                  <c:v>8826677622</c:v>
                </c:pt>
              </c:numCache>
            </c:numRef>
          </c:val>
          <c:smooth val="0"/>
          <c:extLst>
            <c:ext xmlns:c16="http://schemas.microsoft.com/office/drawing/2014/chart" uri="{C3380CC4-5D6E-409C-BE32-E72D297353CC}">
              <c16:uniqueId val="{00000000-0961-4B61-AC6E-C54AFA930A6F}"/>
            </c:ext>
          </c:extLst>
        </c:ser>
        <c:dLbls>
          <c:showLegendKey val="0"/>
          <c:showVal val="0"/>
          <c:showCatName val="0"/>
          <c:showSerName val="0"/>
          <c:showPercent val="0"/>
          <c:showBubbleSize val="0"/>
        </c:dLbls>
        <c:marker val="1"/>
        <c:smooth val="0"/>
        <c:axId val="954012959"/>
        <c:axId val="954008159"/>
      </c:lineChart>
      <c:catAx>
        <c:axId val="95404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4040799"/>
        <c:crosses val="autoZero"/>
        <c:auto val="1"/>
        <c:lblAlgn val="ctr"/>
        <c:lblOffset val="100"/>
        <c:noMultiLvlLbl val="0"/>
      </c:catAx>
      <c:valAx>
        <c:axId val="95404079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954042239"/>
        <c:crosses val="autoZero"/>
        <c:crossBetween val="between"/>
      </c:valAx>
      <c:valAx>
        <c:axId val="954008159"/>
        <c:scaling>
          <c:orientation val="minMax"/>
        </c:scaling>
        <c:delete val="0"/>
        <c:axPos val="r"/>
        <c:numFmt formatCode="_-[$$-540A]* #,##0_ ;_-[$$-540A]* \-#,##0\ ;_-[$$-540A]*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954012959"/>
        <c:crosses val="max"/>
        <c:crossBetween val="between"/>
      </c:valAx>
      <c:catAx>
        <c:axId val="954012959"/>
        <c:scaling>
          <c:orientation val="minMax"/>
        </c:scaling>
        <c:delete val="1"/>
        <c:axPos val="b"/>
        <c:numFmt formatCode="General" sourceLinked="1"/>
        <c:majorTickMark val="out"/>
        <c:minorTickMark val="none"/>
        <c:tickLblPos val="nextTo"/>
        <c:crossAx val="954008159"/>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Units Sold and Revenue by Region</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32F2F"/>
          </a:solidFill>
          <a:ln w="28575" cap="rnd">
            <a:solidFill>
              <a:srgbClr val="D32F2F"/>
            </a:solidFill>
            <a:round/>
          </a:ln>
          <a:effectLst/>
        </c:spPr>
        <c:marker>
          <c:symbol val="none"/>
        </c:marker>
        <c:dLbl>
          <c:idx val="0"/>
          <c:layout>
            <c:manualLayout>
              <c:x val="-7.8108574374512185E-2"/>
              <c:y val="2.3569023569023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32F2F"/>
          </a:solidFill>
          <a:ln w="28575" cap="rnd">
            <a:solidFill>
              <a:srgbClr val="D32F2F"/>
            </a:solidFill>
            <a:round/>
          </a:ln>
          <a:effectLst/>
        </c:spPr>
        <c:marker>
          <c:symbol val="none"/>
        </c:marker>
        <c:dLbl>
          <c:idx val="0"/>
          <c:layout>
            <c:manualLayout>
              <c:x val="-7.4698524519813708E-2"/>
              <c:y val="2.6936026936026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32F2F"/>
          </a:solidFill>
          <a:ln w="28575" cap="rnd">
            <a:solidFill>
              <a:srgbClr val="D32F2F"/>
            </a:solidFill>
            <a:round/>
          </a:ln>
          <a:effectLst/>
        </c:spPr>
        <c:marker>
          <c:symbol val="none"/>
        </c:marker>
        <c:dLbl>
          <c:idx val="0"/>
          <c:layout>
            <c:manualLayout>
              <c:x val="7.5999236908084314E-2"/>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7127991339193"/>
          <c:y val="9.4276094276094277E-2"/>
          <c:w val="0.60557532367254174"/>
          <c:h val="0.82788462048304567"/>
        </c:manualLayout>
      </c:layout>
      <c:barChart>
        <c:barDir val="col"/>
        <c:grouping val="clustered"/>
        <c:varyColors val="0"/>
        <c:ser>
          <c:idx val="0"/>
          <c:order val="0"/>
          <c:tx>
            <c:strRef>
              <c:f>Sheet2!$J$2</c:f>
              <c:strCache>
                <c:ptCount val="1"/>
                <c:pt idx="0">
                  <c:v>Total Revenue</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Sheet2!$I$3:$I$6</c:f>
              <c:strCache>
                <c:ptCount val="3"/>
                <c:pt idx="0">
                  <c:v>Asia</c:v>
                </c:pt>
                <c:pt idx="1">
                  <c:v>Europe</c:v>
                </c:pt>
                <c:pt idx="2">
                  <c:v>USA</c:v>
                </c:pt>
              </c:strCache>
            </c:strRef>
          </c:cat>
          <c:val>
            <c:numRef>
              <c:f>Sheet2!$J$3:$J$6</c:f>
              <c:numCache>
                <c:formatCode>[$$-409]#,##0</c:formatCode>
                <c:ptCount val="3"/>
                <c:pt idx="0">
                  <c:v>263508324639</c:v>
                </c:pt>
                <c:pt idx="1">
                  <c:v>274956007872</c:v>
                </c:pt>
                <c:pt idx="2">
                  <c:v>324108429953</c:v>
                </c:pt>
              </c:numCache>
            </c:numRef>
          </c:val>
          <c:extLst>
            <c:ext xmlns:c16="http://schemas.microsoft.com/office/drawing/2014/chart" uri="{C3380CC4-5D6E-409C-BE32-E72D297353CC}">
              <c16:uniqueId val="{00000000-8680-43F1-AF16-BF7137D932F5}"/>
            </c:ext>
          </c:extLst>
        </c:ser>
        <c:dLbls>
          <c:showLegendKey val="0"/>
          <c:showVal val="1"/>
          <c:showCatName val="0"/>
          <c:showSerName val="0"/>
          <c:showPercent val="0"/>
          <c:showBubbleSize val="0"/>
        </c:dLbls>
        <c:gapWidth val="219"/>
        <c:overlap val="-27"/>
        <c:axId val="1043994543"/>
        <c:axId val="1043982543"/>
      </c:barChart>
      <c:barChart>
        <c:barDir val="col"/>
        <c:grouping val="clustered"/>
        <c:varyColors val="0"/>
        <c:ser>
          <c:idx val="1"/>
          <c:order val="1"/>
          <c:tx>
            <c:strRef>
              <c:f>Sheet2!$K$2</c:f>
              <c:strCache>
                <c:ptCount val="1"/>
                <c:pt idx="0">
                  <c:v>Number of Unit Sold</c:v>
                </c:pt>
              </c:strCache>
            </c:strRef>
          </c:tx>
          <c:spPr>
            <a:solidFill>
              <a:srgbClr val="D32F2F"/>
            </a:solidFill>
            <a:ln>
              <a:solidFill>
                <a:srgbClr val="D32F2F"/>
              </a:solidFill>
            </a:ln>
            <a:effectLst/>
          </c:spPr>
          <c:invertIfNegative val="0"/>
          <c:dPt>
            <c:idx val="0"/>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03-8680-43F1-AF16-BF7137D932F5}"/>
              </c:ext>
            </c:extLst>
          </c:dPt>
          <c:dPt>
            <c:idx val="1"/>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04-8680-43F1-AF16-BF7137D932F5}"/>
              </c:ext>
            </c:extLst>
          </c:dPt>
          <c:dPt>
            <c:idx val="2"/>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00-8112-4D73-A1ED-D217C744D1DA}"/>
              </c:ext>
            </c:extLst>
          </c:dPt>
          <c:dLbls>
            <c:dLbl>
              <c:idx val="0"/>
              <c:layout>
                <c:manualLayout>
                  <c:x val="-7.8108574374512185E-2"/>
                  <c:y val="2.3569023569023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80-43F1-AF16-BF7137D932F5}"/>
                </c:ext>
              </c:extLst>
            </c:dLbl>
            <c:dLbl>
              <c:idx val="1"/>
              <c:layout>
                <c:manualLayout>
                  <c:x val="-7.4698524519813708E-2"/>
                  <c:y val="2.69360269360269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80-43F1-AF16-BF7137D932F5}"/>
                </c:ext>
              </c:extLst>
            </c:dLbl>
            <c:dLbl>
              <c:idx val="2"/>
              <c:layout>
                <c:manualLayout>
                  <c:x val="7.5999236908084314E-2"/>
                  <c:y val="3.0303030303030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12-4D73-A1ED-D217C744D1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Sheet2!$I$3:$I$6</c:f>
              <c:strCache>
                <c:ptCount val="3"/>
                <c:pt idx="0">
                  <c:v>Asia</c:v>
                </c:pt>
                <c:pt idx="1">
                  <c:v>Europe</c:v>
                </c:pt>
                <c:pt idx="2">
                  <c:v>USA</c:v>
                </c:pt>
              </c:strCache>
            </c:strRef>
          </c:cat>
          <c:val>
            <c:numRef>
              <c:f>Sheet2!$K$3:$K$6</c:f>
              <c:numCache>
                <c:formatCode>_ * #,##0_ ;_ * \-#,##0_ ;_ * "-"??_ ;_ @_ </c:formatCode>
                <c:ptCount val="3"/>
                <c:pt idx="0">
                  <c:v>149989</c:v>
                </c:pt>
                <c:pt idx="1">
                  <c:v>150368</c:v>
                </c:pt>
                <c:pt idx="2">
                  <c:v>179921</c:v>
                </c:pt>
              </c:numCache>
            </c:numRef>
          </c:val>
          <c:extLst>
            <c:ext xmlns:c16="http://schemas.microsoft.com/office/drawing/2014/chart" uri="{C3380CC4-5D6E-409C-BE32-E72D297353CC}">
              <c16:uniqueId val="{00000001-8680-43F1-AF16-BF7137D932F5}"/>
            </c:ext>
          </c:extLst>
        </c:ser>
        <c:dLbls>
          <c:showLegendKey val="0"/>
          <c:showVal val="1"/>
          <c:showCatName val="0"/>
          <c:showSerName val="0"/>
          <c:showPercent val="0"/>
          <c:showBubbleSize val="0"/>
        </c:dLbls>
        <c:gapWidth val="150"/>
        <c:axId val="1044001263"/>
        <c:axId val="1043984463"/>
      </c:barChart>
      <c:catAx>
        <c:axId val="10439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3982543"/>
        <c:crosses val="autoZero"/>
        <c:auto val="1"/>
        <c:lblAlgn val="ctr"/>
        <c:lblOffset val="100"/>
        <c:noMultiLvlLbl val="0"/>
      </c:catAx>
      <c:valAx>
        <c:axId val="1043982543"/>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43994543"/>
        <c:crosses val="autoZero"/>
        <c:crossBetween val="between"/>
      </c:valAx>
      <c:valAx>
        <c:axId val="1043984463"/>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44001263"/>
        <c:crosses val="max"/>
        <c:crossBetween val="between"/>
      </c:valAx>
      <c:catAx>
        <c:axId val="1044001263"/>
        <c:scaling>
          <c:orientation val="minMax"/>
        </c:scaling>
        <c:delete val="1"/>
        <c:axPos val="b"/>
        <c:numFmt formatCode="General" sourceLinked="1"/>
        <c:majorTickMark val="out"/>
        <c:minorTickMark val="none"/>
        <c:tickLblPos val="nextTo"/>
        <c:crossAx val="1043984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rPr>
              <a:t>Regional Comparison of Average BMW Prices</a:t>
            </a:r>
            <a:endParaRPr lang="en-IN"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98870056497175E-2"/>
          <c:y val="0.17689049414627908"/>
          <c:w val="0.97691105576088699"/>
          <c:h val="0.73378050211189128"/>
        </c:manualLayout>
      </c:layout>
      <c:barChart>
        <c:barDir val="col"/>
        <c:grouping val="clustered"/>
        <c:varyColors val="0"/>
        <c:ser>
          <c:idx val="0"/>
          <c:order val="0"/>
          <c:tx>
            <c:strRef>
              <c:f>Sheet2!$C$2</c:f>
              <c:strCache>
                <c:ptCount val="1"/>
                <c:pt idx="0">
                  <c:v>Total</c:v>
                </c:pt>
              </c:strCache>
            </c:strRef>
          </c:tx>
          <c:spPr>
            <a:solidFill>
              <a:srgbClr val="1F4E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Sheet2!$B$3:$B$6</c:f>
              <c:strCache>
                <c:ptCount val="3"/>
                <c:pt idx="0">
                  <c:v>Asia</c:v>
                </c:pt>
                <c:pt idx="1">
                  <c:v>Europe</c:v>
                </c:pt>
                <c:pt idx="2">
                  <c:v>USA</c:v>
                </c:pt>
              </c:strCache>
            </c:strRef>
          </c:cat>
          <c:val>
            <c:numRef>
              <c:f>Sheet2!$C$3:$C$6</c:f>
              <c:numCache>
                <c:formatCode>[$$-409]#,##0</c:formatCode>
                <c:ptCount val="3"/>
                <c:pt idx="0">
                  <c:v>30821.947368421053</c:v>
                </c:pt>
                <c:pt idx="1">
                  <c:v>29976.295081967211</c:v>
                </c:pt>
                <c:pt idx="2">
                  <c:v>29054.725806451614</c:v>
                </c:pt>
              </c:numCache>
            </c:numRef>
          </c:val>
          <c:extLst>
            <c:ext xmlns:c16="http://schemas.microsoft.com/office/drawing/2014/chart" uri="{C3380CC4-5D6E-409C-BE32-E72D297353CC}">
              <c16:uniqueId val="{00000000-F4DC-4760-94F9-2FD20BA226F8}"/>
            </c:ext>
          </c:extLst>
        </c:ser>
        <c:dLbls>
          <c:dLblPos val="outEnd"/>
          <c:showLegendKey val="0"/>
          <c:showVal val="1"/>
          <c:showCatName val="0"/>
          <c:showSerName val="0"/>
          <c:showPercent val="0"/>
          <c:showBubbleSize val="0"/>
        </c:dLbls>
        <c:gapWidth val="219"/>
        <c:overlap val="-27"/>
        <c:axId val="667441695"/>
        <c:axId val="667448415"/>
      </c:barChart>
      <c:catAx>
        <c:axId val="6674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67448415"/>
        <c:crosses val="autoZero"/>
        <c:auto val="1"/>
        <c:lblAlgn val="ctr"/>
        <c:lblOffset val="100"/>
        <c:noMultiLvlLbl val="0"/>
      </c:catAx>
      <c:valAx>
        <c:axId val="667448415"/>
        <c:scaling>
          <c:orientation val="minMax"/>
        </c:scaling>
        <c:delete val="1"/>
        <c:axPos val="l"/>
        <c:numFmt formatCode="[$$-409]#,##0" sourceLinked="1"/>
        <c:majorTickMark val="none"/>
        <c:minorTickMark val="none"/>
        <c:tickLblPos val="nextTo"/>
        <c:crossAx val="66744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Units Sold &amp; Revenue Trends Over Time</a:t>
            </a:r>
            <a:endParaRPr lang="en-IN"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D32F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D32F2F"/>
            </a:solidFill>
            <a:round/>
          </a:ln>
          <a:effectLst/>
        </c:spPr>
        <c:marker>
          <c:symbol val="none"/>
        </c:marker>
        <c:dLbl>
          <c:idx val="0"/>
          <c:layout>
            <c:manualLayout>
              <c:x val="-7.4309984980021147E-3"/>
              <c:y val="-2.916667623578616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7.4309984980022699E-3"/>
              <c:y val="-2.9166676235786167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D32F2F"/>
            </a:solidFill>
            <a:round/>
          </a:ln>
          <a:effectLst/>
        </c:spPr>
        <c:marker>
          <c:symbol val="none"/>
        </c:marker>
        <c:dLbl>
          <c:idx val="0"/>
          <c:layout>
            <c:manualLayout>
              <c:x val="-2.6094277823794261E-2"/>
              <c:y val="-2.500000820210246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D32F2F"/>
            </a:solidFill>
            <a:round/>
          </a:ln>
          <a:effectLst/>
        </c:spPr>
        <c:marker>
          <c:symbol val="none"/>
        </c:marker>
        <c:dLbl>
          <c:idx val="0"/>
          <c:layout>
            <c:manualLayout>
              <c:x val="-5.0505053852505271E-3"/>
              <c:y val="-4.1666680336837382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D32F2F"/>
            </a:solidFill>
            <a:round/>
          </a:ln>
          <a:effectLst/>
        </c:spPr>
        <c:marker>
          <c:symbol val="none"/>
        </c:marker>
        <c:dLbl>
          <c:idx val="0"/>
          <c:layout>
            <c:manualLayout>
              <c:x val="-5.0505053852505574E-3"/>
              <c:y val="-4.583334837052111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3.5353537696753534E-2"/>
              <c:y val="3.3333344269469906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D32F2F"/>
            </a:solidFill>
            <a:round/>
          </a:ln>
          <a:effectLst/>
        </c:spPr>
        <c:marker>
          <c:symbol val="none"/>
        </c:marker>
        <c:dLbl>
          <c:idx val="0"/>
          <c:layout>
            <c:manualLayout>
              <c:x val="-3.3670035901670592E-3"/>
              <c:y val="-4.166668033683741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D32F2F"/>
            </a:solidFill>
            <a:round/>
          </a:ln>
          <a:effectLst/>
        </c:spPr>
        <c:marker>
          <c:symbol val="none"/>
        </c:marker>
        <c:dLbl>
          <c:idx val="0"/>
          <c:layout>
            <c:manualLayout>
              <c:x val="1.2626263463126241E-2"/>
              <c:y val="0"/>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D32F2F"/>
            </a:solidFill>
            <a:round/>
          </a:ln>
          <a:effectLst/>
        </c:spPr>
        <c:marker>
          <c:symbol val="none"/>
        </c:marker>
        <c:dLbl>
          <c:idx val="0"/>
          <c:layout>
            <c:manualLayout>
              <c:x val="-5.8922562827922456E-3"/>
              <c:y val="-4.583334837052111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D32F2F"/>
            </a:solidFill>
            <a:round/>
          </a:ln>
          <a:effectLst/>
        </c:spPr>
        <c:marker>
          <c:symbol val="none"/>
        </c:marker>
        <c:dLbl>
          <c:idx val="0"/>
          <c:layout>
            <c:manualLayout>
              <c:x val="-2.7777779618877792E-2"/>
              <c:y val="-3.7500012303153717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D32F2F"/>
            </a:solidFill>
            <a:round/>
          </a:ln>
          <a:effectLst/>
        </c:spPr>
        <c:marker>
          <c:symbol val="none"/>
        </c:marker>
        <c:dLbl>
          <c:idx val="0"/>
          <c:layout>
            <c:manualLayout>
              <c:x val="-3.3670035901669972E-3"/>
              <c:y val="-7.5000024606307281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D32F2F"/>
            </a:solidFill>
            <a:round/>
          </a:ln>
          <a:effectLst/>
        </c:spPr>
        <c:marker>
          <c:symbol val="none"/>
        </c:marker>
        <c:dLbl>
          <c:idx val="0"/>
          <c:layout>
            <c:manualLayout>
              <c:x val="-8.4175089754174939E-3"/>
              <c:y val="-3.750001230315364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D32F2F"/>
            </a:solidFill>
            <a:round/>
          </a:ln>
          <a:effectLst/>
        </c:spPr>
        <c:marker>
          <c:symbol val="none"/>
        </c:marker>
        <c:dLbl>
          <c:idx val="0"/>
          <c:layout>
            <c:manualLayout>
              <c:x val="-1.2626263463126364E-2"/>
              <c:y val="-3.7500012303153682E-2"/>
            </c:manualLayout>
          </c:layout>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2.5252526926252482E-2"/>
              <c:y val="4.583334837052104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3.7037039491836989E-2"/>
              <c:y val="2.9166676235786091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09382195271757E-2"/>
          <c:y val="0.12075473292787704"/>
          <c:w val="0.90015760625663499"/>
          <c:h val="0.80612685004729023"/>
        </c:manualLayout>
      </c:layout>
      <c:lineChart>
        <c:grouping val="standard"/>
        <c:varyColors val="0"/>
        <c:ser>
          <c:idx val="1"/>
          <c:order val="1"/>
          <c:tx>
            <c:strRef>
              <c:f>Sheet2!$G$2</c:f>
              <c:strCache>
                <c:ptCount val="1"/>
                <c:pt idx="0">
                  <c:v>Total Units Sold</c:v>
                </c:pt>
              </c:strCache>
            </c:strRef>
          </c:tx>
          <c:spPr>
            <a:ln w="28575" cap="rnd">
              <a:solidFill>
                <a:srgbClr val="D32F2F"/>
              </a:solidFill>
              <a:round/>
            </a:ln>
            <a:effectLst/>
          </c:spPr>
          <c:marker>
            <c:symbol val="none"/>
          </c:marker>
          <c:dPt>
            <c:idx val="0"/>
            <c:marker>
              <c:symbol val="none"/>
            </c:marker>
            <c:bubble3D val="0"/>
            <c:spPr>
              <a:ln w="28575" cap="rnd">
                <a:solidFill>
                  <a:srgbClr val="D32F2F"/>
                </a:solidFill>
                <a:round/>
              </a:ln>
              <a:effectLst/>
            </c:spPr>
            <c:extLst>
              <c:ext xmlns:c16="http://schemas.microsoft.com/office/drawing/2014/chart" uri="{C3380CC4-5D6E-409C-BE32-E72D297353CC}">
                <c16:uniqueId val="{00000000-A91F-4C01-85BB-94BCB7AC5C64}"/>
              </c:ext>
            </c:extLst>
          </c:dPt>
          <c:dPt>
            <c:idx val="2"/>
            <c:marker>
              <c:symbol val="none"/>
            </c:marker>
            <c:bubble3D val="0"/>
            <c:spPr>
              <a:ln w="28575" cap="rnd">
                <a:solidFill>
                  <a:srgbClr val="D32F2F"/>
                </a:solidFill>
                <a:round/>
              </a:ln>
              <a:effectLst/>
            </c:spPr>
            <c:extLst>
              <c:ext xmlns:c16="http://schemas.microsoft.com/office/drawing/2014/chart" uri="{C3380CC4-5D6E-409C-BE32-E72D297353CC}">
                <c16:uniqueId val="{00000003-A91F-4C01-85BB-94BCB7AC5C64}"/>
              </c:ext>
            </c:extLst>
          </c:dPt>
          <c:dPt>
            <c:idx val="3"/>
            <c:marker>
              <c:symbol val="none"/>
            </c:marker>
            <c:bubble3D val="0"/>
            <c:spPr>
              <a:ln w="28575" cap="rnd">
                <a:solidFill>
                  <a:srgbClr val="D32F2F"/>
                </a:solidFill>
                <a:round/>
              </a:ln>
              <a:effectLst/>
            </c:spPr>
            <c:extLst>
              <c:ext xmlns:c16="http://schemas.microsoft.com/office/drawing/2014/chart" uri="{C3380CC4-5D6E-409C-BE32-E72D297353CC}">
                <c16:uniqueId val="{00000002-A91F-4C01-85BB-94BCB7AC5C64}"/>
              </c:ext>
            </c:extLst>
          </c:dPt>
          <c:dPt>
            <c:idx val="4"/>
            <c:marker>
              <c:symbol val="none"/>
            </c:marker>
            <c:bubble3D val="0"/>
            <c:spPr>
              <a:ln w="28575" cap="rnd">
                <a:solidFill>
                  <a:srgbClr val="D32F2F"/>
                </a:solidFill>
                <a:round/>
              </a:ln>
              <a:effectLst/>
            </c:spPr>
            <c:extLst>
              <c:ext xmlns:c16="http://schemas.microsoft.com/office/drawing/2014/chart" uri="{C3380CC4-5D6E-409C-BE32-E72D297353CC}">
                <c16:uniqueId val="{00000007-A91F-4C01-85BB-94BCB7AC5C64}"/>
              </c:ext>
            </c:extLst>
          </c:dPt>
          <c:dPt>
            <c:idx val="5"/>
            <c:marker>
              <c:symbol val="none"/>
            </c:marker>
            <c:bubble3D val="0"/>
            <c:spPr>
              <a:ln w="28575" cap="rnd">
                <a:solidFill>
                  <a:srgbClr val="D32F2F"/>
                </a:solidFill>
                <a:round/>
              </a:ln>
              <a:effectLst/>
            </c:spPr>
            <c:extLst>
              <c:ext xmlns:c16="http://schemas.microsoft.com/office/drawing/2014/chart" uri="{C3380CC4-5D6E-409C-BE32-E72D297353CC}">
                <c16:uniqueId val="{00000004-A91F-4C01-85BB-94BCB7AC5C64}"/>
              </c:ext>
            </c:extLst>
          </c:dPt>
          <c:dPt>
            <c:idx val="6"/>
            <c:marker>
              <c:symbol val="none"/>
            </c:marker>
            <c:bubble3D val="0"/>
            <c:spPr>
              <a:ln w="28575" cap="rnd">
                <a:solidFill>
                  <a:srgbClr val="D32F2F"/>
                </a:solidFill>
                <a:round/>
              </a:ln>
              <a:effectLst/>
            </c:spPr>
            <c:extLst>
              <c:ext xmlns:c16="http://schemas.microsoft.com/office/drawing/2014/chart" uri="{C3380CC4-5D6E-409C-BE32-E72D297353CC}">
                <c16:uniqueId val="{00000006-A91F-4C01-85BB-94BCB7AC5C64}"/>
              </c:ext>
            </c:extLst>
          </c:dPt>
          <c:dPt>
            <c:idx val="7"/>
            <c:marker>
              <c:symbol val="none"/>
            </c:marker>
            <c:bubble3D val="0"/>
            <c:spPr>
              <a:ln w="28575" cap="rnd">
                <a:solidFill>
                  <a:srgbClr val="D32F2F"/>
                </a:solidFill>
                <a:round/>
              </a:ln>
              <a:effectLst/>
            </c:spPr>
            <c:extLst>
              <c:ext xmlns:c16="http://schemas.microsoft.com/office/drawing/2014/chart" uri="{C3380CC4-5D6E-409C-BE32-E72D297353CC}">
                <c16:uniqueId val="{00000008-A91F-4C01-85BB-94BCB7AC5C64}"/>
              </c:ext>
            </c:extLst>
          </c:dPt>
          <c:dPt>
            <c:idx val="8"/>
            <c:marker>
              <c:symbol val="none"/>
            </c:marker>
            <c:bubble3D val="0"/>
            <c:spPr>
              <a:ln w="28575" cap="rnd">
                <a:solidFill>
                  <a:srgbClr val="D32F2F"/>
                </a:solidFill>
                <a:round/>
              </a:ln>
              <a:effectLst/>
            </c:spPr>
            <c:extLst>
              <c:ext xmlns:c16="http://schemas.microsoft.com/office/drawing/2014/chart" uri="{C3380CC4-5D6E-409C-BE32-E72D297353CC}">
                <c16:uniqueId val="{00000009-A91F-4C01-85BB-94BCB7AC5C64}"/>
              </c:ext>
            </c:extLst>
          </c:dPt>
          <c:dPt>
            <c:idx val="10"/>
            <c:marker>
              <c:symbol val="none"/>
            </c:marker>
            <c:bubble3D val="0"/>
            <c:spPr>
              <a:ln w="28575" cap="rnd">
                <a:solidFill>
                  <a:srgbClr val="D32F2F"/>
                </a:solidFill>
                <a:round/>
              </a:ln>
              <a:effectLst/>
            </c:spPr>
            <c:extLst>
              <c:ext xmlns:c16="http://schemas.microsoft.com/office/drawing/2014/chart" uri="{C3380CC4-5D6E-409C-BE32-E72D297353CC}">
                <c16:uniqueId val="{0000000A-A91F-4C01-85BB-94BCB7AC5C64}"/>
              </c:ext>
            </c:extLst>
          </c:dPt>
          <c:dPt>
            <c:idx val="11"/>
            <c:marker>
              <c:symbol val="none"/>
            </c:marker>
            <c:bubble3D val="0"/>
            <c:spPr>
              <a:ln w="28575" cap="rnd">
                <a:solidFill>
                  <a:srgbClr val="D32F2F"/>
                </a:solidFill>
                <a:round/>
              </a:ln>
              <a:effectLst/>
            </c:spPr>
            <c:extLst>
              <c:ext xmlns:c16="http://schemas.microsoft.com/office/drawing/2014/chart" uri="{C3380CC4-5D6E-409C-BE32-E72D297353CC}">
                <c16:uniqueId val="{0000000B-A91F-4C01-85BB-94BCB7AC5C64}"/>
              </c:ext>
            </c:extLst>
          </c:dPt>
          <c:dPt>
            <c:idx val="12"/>
            <c:marker>
              <c:symbol val="none"/>
            </c:marker>
            <c:bubble3D val="0"/>
            <c:spPr>
              <a:ln w="28575" cap="rnd">
                <a:solidFill>
                  <a:srgbClr val="D32F2F"/>
                </a:solidFill>
                <a:round/>
              </a:ln>
              <a:effectLst/>
            </c:spPr>
            <c:extLst>
              <c:ext xmlns:c16="http://schemas.microsoft.com/office/drawing/2014/chart" uri="{C3380CC4-5D6E-409C-BE32-E72D297353CC}">
                <c16:uniqueId val="{0000000C-A91F-4C01-85BB-94BCB7AC5C64}"/>
              </c:ext>
            </c:extLst>
          </c:dPt>
          <c:dLbls>
            <c:dLbl>
              <c:idx val="0"/>
              <c:layout>
                <c:manualLayout>
                  <c:x val="-7.4309984980021147E-3"/>
                  <c:y val="-2.9166676235786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1F-4C01-85BB-94BCB7AC5C64}"/>
                </c:ext>
              </c:extLst>
            </c:dLbl>
            <c:dLbl>
              <c:idx val="2"/>
              <c:layout>
                <c:manualLayout>
                  <c:x val="-5.0505053852505271E-3"/>
                  <c:y val="-4.16666803368373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1F-4C01-85BB-94BCB7AC5C64}"/>
                </c:ext>
              </c:extLst>
            </c:dLbl>
            <c:dLbl>
              <c:idx val="3"/>
              <c:layout>
                <c:manualLayout>
                  <c:x val="-2.6094277823794261E-2"/>
                  <c:y val="-2.5000008202102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1F-4C01-85BB-94BCB7AC5C64}"/>
                </c:ext>
              </c:extLst>
            </c:dLbl>
            <c:dLbl>
              <c:idx val="4"/>
              <c:layout>
                <c:manualLayout>
                  <c:x val="1.262626346312624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1F-4C01-85BB-94BCB7AC5C64}"/>
                </c:ext>
              </c:extLst>
            </c:dLbl>
            <c:dLbl>
              <c:idx val="5"/>
              <c:layout>
                <c:manualLayout>
                  <c:x val="-5.0505053852505574E-3"/>
                  <c:y val="-4.5833348370521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1F-4C01-85BB-94BCB7AC5C64}"/>
                </c:ext>
              </c:extLst>
            </c:dLbl>
            <c:dLbl>
              <c:idx val="6"/>
              <c:layout>
                <c:manualLayout>
                  <c:x val="-3.3670035901670592E-3"/>
                  <c:y val="-4.16666803368374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1F-4C01-85BB-94BCB7AC5C64}"/>
                </c:ext>
              </c:extLst>
            </c:dLbl>
            <c:dLbl>
              <c:idx val="7"/>
              <c:layout>
                <c:manualLayout>
                  <c:x val="-5.8922562827922456E-3"/>
                  <c:y val="-4.5833348370521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1F-4C01-85BB-94BCB7AC5C64}"/>
                </c:ext>
              </c:extLst>
            </c:dLbl>
            <c:dLbl>
              <c:idx val="8"/>
              <c:layout>
                <c:manualLayout>
                  <c:x val="-2.7777779618877792E-2"/>
                  <c:y val="-3.7500012303153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1F-4C01-85BB-94BCB7AC5C64}"/>
                </c:ext>
              </c:extLst>
            </c:dLbl>
            <c:dLbl>
              <c:idx val="10"/>
              <c:layout>
                <c:manualLayout>
                  <c:x val="-3.3670035901669972E-3"/>
                  <c:y val="-7.5000024606307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1F-4C01-85BB-94BCB7AC5C64}"/>
                </c:ext>
              </c:extLst>
            </c:dLbl>
            <c:dLbl>
              <c:idx val="11"/>
              <c:layout>
                <c:manualLayout>
                  <c:x val="-8.4175089754174939E-3"/>
                  <c:y val="-3.750001230315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1F-4C01-85BB-94BCB7AC5C64}"/>
                </c:ext>
              </c:extLst>
            </c:dLbl>
            <c:dLbl>
              <c:idx val="12"/>
              <c:layout>
                <c:manualLayout>
                  <c:x val="-1.2626263463126364E-2"/>
                  <c:y val="-3.7500012303153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91F-4C01-85BB-94BCB7AC5C64}"/>
                </c:ext>
              </c:extLst>
            </c:dLbl>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Sheet2!$E$3:$E$18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Sheet2!$G$3:$G$18</c:f>
              <c:numCache>
                <c:formatCode>_ * #,##0_ ;_ * \-#,##0_ ;_ * "-"??_ ;_ @_ </c:formatCode>
                <c:ptCount val="15"/>
                <c:pt idx="0">
                  <c:v>36988</c:v>
                </c:pt>
                <c:pt idx="1">
                  <c:v>36560</c:v>
                </c:pt>
                <c:pt idx="2">
                  <c:v>28184</c:v>
                </c:pt>
                <c:pt idx="3">
                  <c:v>29887</c:v>
                </c:pt>
                <c:pt idx="4">
                  <c:v>37644</c:v>
                </c:pt>
                <c:pt idx="5">
                  <c:v>29432</c:v>
                </c:pt>
                <c:pt idx="6">
                  <c:v>30626</c:v>
                </c:pt>
                <c:pt idx="7">
                  <c:v>27426</c:v>
                </c:pt>
                <c:pt idx="8">
                  <c:v>28476</c:v>
                </c:pt>
                <c:pt idx="9">
                  <c:v>41425</c:v>
                </c:pt>
                <c:pt idx="10">
                  <c:v>24872</c:v>
                </c:pt>
                <c:pt idx="11">
                  <c:v>34796</c:v>
                </c:pt>
                <c:pt idx="12">
                  <c:v>33637</c:v>
                </c:pt>
                <c:pt idx="13">
                  <c:v>32227</c:v>
                </c:pt>
                <c:pt idx="14">
                  <c:v>28098</c:v>
                </c:pt>
              </c:numCache>
            </c:numRef>
          </c:val>
          <c:smooth val="0"/>
          <c:extLst>
            <c:ext xmlns:c16="http://schemas.microsoft.com/office/drawing/2014/chart" uri="{C3380CC4-5D6E-409C-BE32-E72D297353CC}">
              <c16:uniqueId val="{00000000-44AF-4306-AFC1-32766C5969C4}"/>
            </c:ext>
          </c:extLst>
        </c:ser>
        <c:dLbls>
          <c:showLegendKey val="0"/>
          <c:showVal val="1"/>
          <c:showCatName val="0"/>
          <c:showSerName val="0"/>
          <c:showPercent val="0"/>
          <c:showBubbleSize val="0"/>
        </c:dLbls>
        <c:marker val="1"/>
        <c:smooth val="0"/>
        <c:axId val="954042239"/>
        <c:axId val="954040799"/>
      </c:lineChart>
      <c:lineChart>
        <c:grouping val="standard"/>
        <c:varyColors val="0"/>
        <c:ser>
          <c:idx val="0"/>
          <c:order val="0"/>
          <c:tx>
            <c:strRef>
              <c:f>Sheet2!$F$2</c:f>
              <c:strCache>
                <c:ptCount val="1"/>
                <c:pt idx="0">
                  <c:v>Average of Revenue</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E-A91F-4C01-85BB-94BCB7AC5C64}"/>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A91F-4C01-85BB-94BCB7AC5C64}"/>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A91F-4C01-85BB-94BCB7AC5C64}"/>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1-A91F-4C01-85BB-94BCB7AC5C64}"/>
              </c:ext>
            </c:extLst>
          </c:dPt>
          <c:dLbls>
            <c:dLbl>
              <c:idx val="1"/>
              <c:layout>
                <c:manualLayout>
                  <c:x val="-3.7037039491836989E-2"/>
                  <c:y val="2.9166676235786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91F-4C01-85BB-94BCB7AC5C64}"/>
                </c:ext>
              </c:extLst>
            </c:dLbl>
            <c:dLbl>
              <c:idx val="5"/>
              <c:layout>
                <c:manualLayout>
                  <c:x val="-3.5353537696753534E-2"/>
                  <c:y val="3.3333344269469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1F-4C01-85BB-94BCB7AC5C64}"/>
                </c:ext>
              </c:extLst>
            </c:dLbl>
            <c:dLbl>
              <c:idx val="6"/>
              <c:layout>
                <c:manualLayout>
                  <c:x val="-2.5252526926252482E-2"/>
                  <c:y val="4.583334837052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1F-4C01-85BB-94BCB7AC5C64}"/>
                </c:ext>
              </c:extLst>
            </c:dLbl>
            <c:dLbl>
              <c:idx val="11"/>
              <c:layout>
                <c:manualLayout>
                  <c:x val="-7.4309984980022699E-3"/>
                  <c:y val="-2.9166676235786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F-4C01-85BB-94BCB7AC5C64}"/>
                </c:ext>
              </c:extLst>
            </c:dLbl>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Sheet2!$E$3:$E$18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Sheet2!$F$3:$F$18</c:f>
              <c:numCache>
                <c:formatCode>_-[$$-540A]* #,##0_ ;_-[$$-540A]* \-#,##0\ ;_-[$$-540A]* "-"_ ;_-@_ </c:formatCode>
                <c:ptCount val="15"/>
                <c:pt idx="0">
                  <c:v>13934045384</c:v>
                </c:pt>
                <c:pt idx="1">
                  <c:v>11725779120</c:v>
                </c:pt>
                <c:pt idx="2">
                  <c:v>10106528744</c:v>
                </c:pt>
                <c:pt idx="3">
                  <c:v>11801509577</c:v>
                </c:pt>
                <c:pt idx="4">
                  <c:v>15862353432</c:v>
                </c:pt>
                <c:pt idx="5">
                  <c:v>10780617848</c:v>
                </c:pt>
                <c:pt idx="6">
                  <c:v>11253646204</c:v>
                </c:pt>
                <c:pt idx="7">
                  <c:v>10200387624</c:v>
                </c:pt>
                <c:pt idx="8">
                  <c:v>9793010304</c:v>
                </c:pt>
                <c:pt idx="9">
                  <c:v>15544482700</c:v>
                </c:pt>
                <c:pt idx="10">
                  <c:v>8671548184</c:v>
                </c:pt>
                <c:pt idx="11">
                  <c:v>11932209524</c:v>
                </c:pt>
                <c:pt idx="12">
                  <c:v>11738371164</c:v>
                </c:pt>
                <c:pt idx="13">
                  <c:v>10796721767</c:v>
                </c:pt>
                <c:pt idx="14">
                  <c:v>8826677622</c:v>
                </c:pt>
              </c:numCache>
            </c:numRef>
          </c:val>
          <c:smooth val="0"/>
          <c:extLst>
            <c:ext xmlns:c16="http://schemas.microsoft.com/office/drawing/2014/chart" uri="{C3380CC4-5D6E-409C-BE32-E72D297353CC}">
              <c16:uniqueId val="{00000001-44AF-4306-AFC1-32766C5969C4}"/>
            </c:ext>
          </c:extLst>
        </c:ser>
        <c:dLbls>
          <c:showLegendKey val="0"/>
          <c:showVal val="1"/>
          <c:showCatName val="0"/>
          <c:showSerName val="0"/>
          <c:showPercent val="0"/>
          <c:showBubbleSize val="0"/>
        </c:dLbls>
        <c:marker val="1"/>
        <c:smooth val="0"/>
        <c:axId val="954012959"/>
        <c:axId val="954008159"/>
      </c:lineChart>
      <c:catAx>
        <c:axId val="954042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4040799"/>
        <c:crosses val="autoZero"/>
        <c:auto val="1"/>
        <c:lblAlgn val="ctr"/>
        <c:lblOffset val="100"/>
        <c:noMultiLvlLbl val="0"/>
      </c:catAx>
      <c:valAx>
        <c:axId val="954040799"/>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954042239"/>
        <c:crosses val="autoZero"/>
        <c:crossBetween val="between"/>
      </c:valAx>
      <c:valAx>
        <c:axId val="954008159"/>
        <c:scaling>
          <c:orientation val="minMax"/>
        </c:scaling>
        <c:delete val="0"/>
        <c:axPos val="r"/>
        <c:numFmt formatCode="_-[$$-540A]* #,##0_ ;_-[$$-540A]* \-#,##0\ ;_-[$$-540A]*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954012959"/>
        <c:crosses val="max"/>
        <c:crossBetween val="between"/>
      </c:valAx>
      <c:catAx>
        <c:axId val="954012959"/>
        <c:scaling>
          <c:orientation val="minMax"/>
        </c:scaling>
        <c:delete val="1"/>
        <c:axPos val="t"/>
        <c:numFmt formatCode="General" sourceLinked="1"/>
        <c:majorTickMark val="out"/>
        <c:minorTickMark val="none"/>
        <c:tickLblPos val="nextTo"/>
        <c:crossAx val="954008159"/>
        <c:crosses val="max"/>
        <c:auto val="1"/>
        <c:lblAlgn val="ctr"/>
        <c:lblOffset val="100"/>
        <c:noMultiLvlLbl val="0"/>
      </c:catAx>
      <c:spPr>
        <a:noFill/>
        <a:ln>
          <a:noFill/>
        </a:ln>
        <a:effectLst/>
      </c:spPr>
    </c:plotArea>
    <c:legend>
      <c:legendPos val="r"/>
      <c:layout>
        <c:manualLayout>
          <c:xMode val="edge"/>
          <c:yMode val="edge"/>
          <c:x val="0.24812675628507888"/>
          <c:y val="0.84976373023744434"/>
          <c:w val="0.42767231150900659"/>
          <c:h val="7.29567768311496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[bmw_car_sales_dataset  project.xlsx]Sheet2!PivotTable5</c:name>
    <c:fmtId val="3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Units Sold and Revenue by Region</a:t>
            </a:r>
            <a:endParaRPr lang="en-IN">
              <a:solidFill>
                <a:schemeClr val="tx1"/>
              </a:solidFill>
            </a:endParaRPr>
          </a:p>
        </c:rich>
      </c:tx>
      <c:layout>
        <c:manualLayout>
          <c:xMode val="edge"/>
          <c:yMode val="edge"/>
          <c:x val="0.32904634744883132"/>
          <c:y val="0"/>
        </c:manualLayout>
      </c:layout>
      <c:overlay val="0"/>
      <c:spPr>
        <a:noFill/>
        <a:ln>
          <a:noFill/>
        </a:ln>
        <a:effectLst/>
      </c:spPr>
    </c:title>
    <c:autoTitleDeleted val="0"/>
    <c:pivotFmts>
      <c:pivotFmt>
        <c:idx val="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32F2F"/>
          </a:solidFill>
          <a:ln w="28575" cap="rnd">
            <a:solidFill>
              <a:srgbClr val="D32F2F"/>
            </a:solidFill>
            <a:round/>
          </a:ln>
          <a:effectLst/>
        </c:spPr>
        <c:marker>
          <c:symbol val="none"/>
        </c:marker>
        <c:dLbl>
          <c:idx val="0"/>
          <c:layout>
            <c:manualLayout>
              <c:x val="-7.8108574374512185E-2"/>
              <c:y val="2.3569023569023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32F2F"/>
          </a:solidFill>
          <a:ln w="28575" cap="rnd">
            <a:solidFill>
              <a:srgbClr val="D32F2F"/>
            </a:solidFill>
            <a:round/>
          </a:ln>
          <a:effectLst/>
        </c:spPr>
        <c:marker>
          <c:symbol val="none"/>
        </c:marker>
        <c:dLbl>
          <c:idx val="0"/>
          <c:layout>
            <c:manualLayout>
              <c:x val="-7.4698524519813708E-2"/>
              <c:y val="2.6936026936026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32F2F"/>
          </a:solidFill>
          <a:ln w="28575" cap="rnd">
            <a:solidFill>
              <a:srgbClr val="D32F2F"/>
            </a:solidFill>
            <a:round/>
          </a:ln>
          <a:effectLst/>
        </c:spPr>
        <c:marker>
          <c:symbol val="none"/>
        </c:marker>
        <c:dLbl>
          <c:idx val="0"/>
          <c:layout>
            <c:manualLayout>
              <c:x val="7.5999236908084314E-2"/>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32F2F"/>
          </a:solidFill>
          <a:ln w="28575" cap="rnd">
            <a:solidFill>
              <a:srgbClr val="D32F2F"/>
            </a:solidFill>
            <a:round/>
          </a:ln>
          <a:effectLst/>
        </c:spPr>
        <c:dLbl>
          <c:idx val="0"/>
          <c:layout>
            <c:manualLayout>
              <c:x val="-7.8108574374512185E-2"/>
              <c:y val="2.3569023569023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32F2F"/>
          </a:solidFill>
          <a:ln w="28575" cap="rnd">
            <a:solidFill>
              <a:srgbClr val="D32F2F"/>
            </a:solidFill>
            <a:round/>
          </a:ln>
          <a:effectLst/>
        </c:spPr>
        <c:dLbl>
          <c:idx val="0"/>
          <c:layout>
            <c:manualLayout>
              <c:x val="-7.4698524519813708E-2"/>
              <c:y val="2.6936026936026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32F2F"/>
          </a:solidFill>
          <a:ln w="28575" cap="rnd">
            <a:solidFill>
              <a:srgbClr val="D32F2F"/>
            </a:solidFill>
            <a:round/>
          </a:ln>
          <a:effectLst/>
        </c:spPr>
        <c:dLbl>
          <c:idx val="0"/>
          <c:layout>
            <c:manualLayout>
              <c:x val="7.5999236908084314E-2"/>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32F2F"/>
          </a:solidFill>
          <a:ln w="28575" cap="rnd">
            <a:solidFill>
              <a:srgbClr val="D32F2F"/>
            </a:solidFill>
            <a:round/>
          </a:ln>
          <a:effectLst/>
        </c:spPr>
        <c:dLbl>
          <c:idx val="0"/>
          <c:layout>
            <c:manualLayout>
              <c:x val="-7.8108574374512185E-2"/>
              <c:y val="2.3569023569023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32F2F"/>
          </a:solidFill>
          <a:ln w="28575" cap="rnd">
            <a:solidFill>
              <a:srgbClr val="D32F2F"/>
            </a:solidFill>
            <a:round/>
          </a:ln>
          <a:effectLst/>
        </c:spPr>
        <c:dLbl>
          <c:idx val="0"/>
          <c:layout>
            <c:manualLayout>
              <c:x val="-7.4698524519813708E-2"/>
              <c:y val="2.6936026936026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32F2F"/>
          </a:solidFill>
          <a:ln w="28575" cap="rnd">
            <a:solidFill>
              <a:srgbClr val="D32F2F"/>
            </a:solidFill>
            <a:round/>
          </a:ln>
          <a:effectLst/>
        </c:spPr>
        <c:dLbl>
          <c:idx val="0"/>
          <c:layout>
            <c:manualLayout>
              <c:x val="7.5999236908084314E-2"/>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F4E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32F2F"/>
          </a:solidFill>
          <a:ln>
            <a:solidFill>
              <a:srgbClr val="D32F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32F2F"/>
          </a:solidFill>
          <a:ln w="28575" cap="rnd">
            <a:solidFill>
              <a:srgbClr val="D32F2F"/>
            </a:solidFill>
            <a:round/>
          </a:ln>
          <a:effectLst/>
        </c:spPr>
        <c:dLbl>
          <c:idx val="0"/>
          <c:layout>
            <c:manualLayout>
              <c:x val="-7.8108574374512185E-2"/>
              <c:y val="2.3569023569023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32F2F"/>
          </a:solidFill>
          <a:ln w="28575" cap="rnd">
            <a:solidFill>
              <a:srgbClr val="D32F2F"/>
            </a:solidFill>
            <a:round/>
          </a:ln>
          <a:effectLst/>
        </c:spPr>
        <c:dLbl>
          <c:idx val="0"/>
          <c:layout>
            <c:manualLayout>
              <c:x val="-7.4698524519813708E-2"/>
              <c:y val="2.6936026936026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32F2F"/>
          </a:solidFill>
          <a:ln w="28575" cap="rnd">
            <a:solidFill>
              <a:srgbClr val="D32F2F"/>
            </a:solidFill>
            <a:round/>
          </a:ln>
          <a:effectLst/>
        </c:spPr>
        <c:dLbl>
          <c:idx val="0"/>
          <c:layout>
            <c:manualLayout>
              <c:x val="8.4079991611229352E-2"/>
              <c:y val="6.6338960892019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1851716448041269E-16"/>
              <c:y val="2.7027036613122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0969630919542"/>
          <c:y val="9.4276094276094277E-2"/>
          <c:w val="0.74618140411121026"/>
          <c:h val="0.82788462048304567"/>
        </c:manualLayout>
      </c:layout>
      <c:barChart>
        <c:barDir val="col"/>
        <c:grouping val="clustered"/>
        <c:varyColors val="0"/>
        <c:ser>
          <c:idx val="0"/>
          <c:order val="0"/>
          <c:tx>
            <c:strRef>
              <c:f>Sheet2!$J$2</c:f>
              <c:strCache>
                <c:ptCount val="1"/>
                <c:pt idx="0">
                  <c:v>Total Revenue</c:v>
                </c:pt>
              </c:strCache>
            </c:strRef>
          </c:tx>
          <c:spPr>
            <a:solidFill>
              <a:srgbClr val="1F4E99"/>
            </a:solidFill>
            <a:ln>
              <a:noFill/>
            </a:ln>
            <a:effectLst/>
          </c:spPr>
          <c:invertIfNegative val="0"/>
          <c:dLbls>
            <c:dLbl>
              <c:idx val="2"/>
              <c:layout>
                <c:manualLayout>
                  <c:x val="-1.1851716448041269E-16"/>
                  <c:y val="2.7027036613122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106-4C51-9AD6-6D6A51BF6D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Sheet2!$I$3:$I$6</c:f>
              <c:strCache>
                <c:ptCount val="3"/>
                <c:pt idx="0">
                  <c:v>Asia</c:v>
                </c:pt>
                <c:pt idx="1">
                  <c:v>Europe</c:v>
                </c:pt>
                <c:pt idx="2">
                  <c:v>USA</c:v>
                </c:pt>
              </c:strCache>
            </c:strRef>
          </c:cat>
          <c:val>
            <c:numRef>
              <c:f>Sheet2!$J$3:$J$6</c:f>
              <c:numCache>
                <c:formatCode>[$$-409]#,##0</c:formatCode>
                <c:ptCount val="3"/>
                <c:pt idx="0">
                  <c:v>263508324639</c:v>
                </c:pt>
                <c:pt idx="1">
                  <c:v>274956007872</c:v>
                </c:pt>
                <c:pt idx="2">
                  <c:v>324108429953</c:v>
                </c:pt>
              </c:numCache>
            </c:numRef>
          </c:val>
          <c:extLst>
            <c:ext xmlns:c16="http://schemas.microsoft.com/office/drawing/2014/chart" uri="{C3380CC4-5D6E-409C-BE32-E72D297353CC}">
              <c16:uniqueId val="{00000013-5106-4C51-9AD6-6D6A51BF6D94}"/>
            </c:ext>
          </c:extLst>
        </c:ser>
        <c:dLbls>
          <c:showLegendKey val="0"/>
          <c:showVal val="1"/>
          <c:showCatName val="0"/>
          <c:showSerName val="0"/>
          <c:showPercent val="0"/>
          <c:showBubbleSize val="0"/>
        </c:dLbls>
        <c:gapWidth val="219"/>
        <c:overlap val="-27"/>
        <c:axId val="1043994543"/>
        <c:axId val="1043982543"/>
      </c:barChart>
      <c:barChart>
        <c:barDir val="col"/>
        <c:grouping val="clustered"/>
        <c:varyColors val="0"/>
        <c:ser>
          <c:idx val="1"/>
          <c:order val="1"/>
          <c:tx>
            <c:strRef>
              <c:f>Sheet2!$K$2</c:f>
              <c:strCache>
                <c:ptCount val="1"/>
                <c:pt idx="0">
                  <c:v>Number of Unit Sold</c:v>
                </c:pt>
              </c:strCache>
            </c:strRef>
          </c:tx>
          <c:spPr>
            <a:solidFill>
              <a:srgbClr val="D32F2F"/>
            </a:solidFill>
            <a:ln>
              <a:solidFill>
                <a:srgbClr val="D32F2F"/>
              </a:solidFill>
            </a:ln>
            <a:effectLst/>
          </c:spPr>
          <c:invertIfNegative val="0"/>
          <c:dPt>
            <c:idx val="0"/>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16-5106-4C51-9AD6-6D6A51BF6D94}"/>
              </c:ext>
            </c:extLst>
          </c:dPt>
          <c:dPt>
            <c:idx val="1"/>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18-5106-4C51-9AD6-6D6A51BF6D94}"/>
              </c:ext>
            </c:extLst>
          </c:dPt>
          <c:dPt>
            <c:idx val="2"/>
            <c:invertIfNegative val="0"/>
            <c:bubble3D val="0"/>
            <c:spPr>
              <a:solidFill>
                <a:srgbClr val="D32F2F"/>
              </a:solidFill>
              <a:ln w="28575" cap="rnd">
                <a:solidFill>
                  <a:srgbClr val="D32F2F"/>
                </a:solidFill>
                <a:round/>
              </a:ln>
              <a:effectLst/>
            </c:spPr>
            <c:extLst>
              <c:ext xmlns:c16="http://schemas.microsoft.com/office/drawing/2014/chart" uri="{C3380CC4-5D6E-409C-BE32-E72D297353CC}">
                <c16:uniqueId val="{0000001A-5106-4C51-9AD6-6D6A51BF6D94}"/>
              </c:ext>
            </c:extLst>
          </c:dPt>
          <c:dLbls>
            <c:dLbl>
              <c:idx val="0"/>
              <c:layout>
                <c:manualLayout>
                  <c:x val="-7.8108574374512185E-2"/>
                  <c:y val="2.3569023569023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106-4C51-9AD6-6D6A51BF6D94}"/>
                </c:ext>
              </c:extLst>
            </c:dLbl>
            <c:dLbl>
              <c:idx val="1"/>
              <c:layout>
                <c:manualLayout>
                  <c:x val="-7.4698524519813708E-2"/>
                  <c:y val="2.69360269360269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106-4C51-9AD6-6D6A51BF6D94}"/>
                </c:ext>
              </c:extLst>
            </c:dLbl>
            <c:dLbl>
              <c:idx val="2"/>
              <c:layout>
                <c:manualLayout>
                  <c:x val="8.4079991611229352E-2"/>
                  <c:y val="6.6338960892019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106-4C51-9AD6-6D6A51BF6D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Sheet2!$I$3:$I$6</c:f>
              <c:strCache>
                <c:ptCount val="3"/>
                <c:pt idx="0">
                  <c:v>Asia</c:v>
                </c:pt>
                <c:pt idx="1">
                  <c:v>Europe</c:v>
                </c:pt>
                <c:pt idx="2">
                  <c:v>USA</c:v>
                </c:pt>
              </c:strCache>
            </c:strRef>
          </c:cat>
          <c:val>
            <c:numRef>
              <c:f>Sheet2!$K$3:$K$6</c:f>
              <c:numCache>
                <c:formatCode>_ * #,##0_ ;_ * \-#,##0_ ;_ * "-"??_ ;_ @_ </c:formatCode>
                <c:ptCount val="3"/>
                <c:pt idx="0">
                  <c:v>149989</c:v>
                </c:pt>
                <c:pt idx="1">
                  <c:v>150368</c:v>
                </c:pt>
                <c:pt idx="2">
                  <c:v>179921</c:v>
                </c:pt>
              </c:numCache>
            </c:numRef>
          </c:val>
          <c:extLst>
            <c:ext xmlns:c16="http://schemas.microsoft.com/office/drawing/2014/chart" uri="{C3380CC4-5D6E-409C-BE32-E72D297353CC}">
              <c16:uniqueId val="{0000001B-5106-4C51-9AD6-6D6A51BF6D94}"/>
            </c:ext>
          </c:extLst>
        </c:ser>
        <c:dLbls>
          <c:showLegendKey val="0"/>
          <c:showVal val="1"/>
          <c:showCatName val="0"/>
          <c:showSerName val="0"/>
          <c:showPercent val="0"/>
          <c:showBubbleSize val="0"/>
        </c:dLbls>
        <c:gapWidth val="150"/>
        <c:axId val="1044001263"/>
        <c:axId val="1043984463"/>
      </c:barChart>
      <c:catAx>
        <c:axId val="10439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3982543"/>
        <c:crosses val="autoZero"/>
        <c:auto val="1"/>
        <c:lblAlgn val="ctr"/>
        <c:lblOffset val="100"/>
        <c:noMultiLvlLbl val="0"/>
      </c:catAx>
      <c:valAx>
        <c:axId val="1043982543"/>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43994543"/>
        <c:crosses val="autoZero"/>
        <c:crossBetween val="between"/>
      </c:valAx>
      <c:valAx>
        <c:axId val="1043984463"/>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44001263"/>
        <c:crosses val="max"/>
        <c:crossBetween val="between"/>
      </c:valAx>
      <c:catAx>
        <c:axId val="1044001263"/>
        <c:scaling>
          <c:orientation val="minMax"/>
        </c:scaling>
        <c:delete val="1"/>
        <c:axPos val="b"/>
        <c:numFmt formatCode="General" sourceLinked="1"/>
        <c:majorTickMark val="out"/>
        <c:minorTickMark val="none"/>
        <c:tickLblPos val="nextTo"/>
        <c:crossAx val="1043984463"/>
        <c:crosses val="autoZero"/>
        <c:auto val="1"/>
        <c:lblAlgn val="ctr"/>
        <c:lblOffset val="100"/>
        <c:noMultiLvlLbl val="0"/>
      </c:catAx>
    </c:plotArea>
    <c:legend>
      <c:legendPos val="r"/>
      <c:layout>
        <c:manualLayout>
          <c:xMode val="edge"/>
          <c:yMode val="edge"/>
          <c:x val="4.3360221854477684E-3"/>
          <c:y val="0.4151796180675385"/>
          <c:w val="0.14233053588871847"/>
          <c:h val="0.15202814500537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114299</xdr:colOff>
      <xdr:row>20</xdr:row>
      <xdr:rowOff>119061</xdr:rowOff>
    </xdr:from>
    <xdr:to>
      <xdr:col>7</xdr:col>
      <xdr:colOff>142874</xdr:colOff>
      <xdr:row>38</xdr:row>
      <xdr:rowOff>85724</xdr:rowOff>
    </xdr:to>
    <xdr:graphicFrame macro="">
      <xdr:nvGraphicFramePr>
        <xdr:cNvPr id="2" name="Chart 1">
          <a:extLst>
            <a:ext uri="{FF2B5EF4-FFF2-40B4-BE49-F238E27FC236}">
              <a16:creationId xmlns:a16="http://schemas.microsoft.com/office/drawing/2014/main" id="{A5A38082-BC20-3A08-275F-C62A53E4A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333375</xdr:colOff>
      <xdr:row>20</xdr:row>
      <xdr:rowOff>123825</xdr:rowOff>
    </xdr:from>
    <xdr:to>
      <xdr:col>28</xdr:col>
      <xdr:colOff>504825</xdr:colOff>
      <xdr:row>38</xdr:row>
      <xdr:rowOff>100012</xdr:rowOff>
    </xdr:to>
    <xdr:graphicFrame macro="">
      <xdr:nvGraphicFramePr>
        <xdr:cNvPr id="5" name="Chart 4">
          <a:extLst>
            <a:ext uri="{FF2B5EF4-FFF2-40B4-BE49-F238E27FC236}">
              <a16:creationId xmlns:a16="http://schemas.microsoft.com/office/drawing/2014/main" id="{FB3C6069-9CE7-E7B5-C5F0-1E2008C9C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123824</xdr:colOff>
      <xdr:row>20</xdr:row>
      <xdr:rowOff>171449</xdr:rowOff>
    </xdr:from>
    <xdr:to>
      <xdr:col>36</xdr:col>
      <xdr:colOff>9524</xdr:colOff>
      <xdr:row>38</xdr:row>
      <xdr:rowOff>161925</xdr:rowOff>
    </xdr:to>
    <xdr:graphicFrame macro="">
      <xdr:nvGraphicFramePr>
        <xdr:cNvPr id="6" name="Chart 5">
          <a:extLst>
            <a:ext uri="{FF2B5EF4-FFF2-40B4-BE49-F238E27FC236}">
              <a16:creationId xmlns:a16="http://schemas.microsoft.com/office/drawing/2014/main" id="{1BA79CFB-D6B1-0756-51CB-C19DBFDE4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104776</xdr:colOff>
      <xdr:row>20</xdr:row>
      <xdr:rowOff>180975</xdr:rowOff>
    </xdr:from>
    <xdr:to>
      <xdr:col>45</xdr:col>
      <xdr:colOff>171451</xdr:colOff>
      <xdr:row>38</xdr:row>
      <xdr:rowOff>152400</xdr:rowOff>
    </xdr:to>
    <xdr:graphicFrame macro="">
      <xdr:nvGraphicFramePr>
        <xdr:cNvPr id="7" name="Chart 6">
          <a:extLst>
            <a:ext uri="{FF2B5EF4-FFF2-40B4-BE49-F238E27FC236}">
              <a16:creationId xmlns:a16="http://schemas.microsoft.com/office/drawing/2014/main" id="{013329D9-48D2-E663-C50E-5DE9B47AF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119061</xdr:colOff>
      <xdr:row>20</xdr:row>
      <xdr:rowOff>19050</xdr:rowOff>
    </xdr:from>
    <xdr:to>
      <xdr:col>17</xdr:col>
      <xdr:colOff>238124</xdr:colOff>
      <xdr:row>36</xdr:row>
      <xdr:rowOff>14287</xdr:rowOff>
    </xdr:to>
    <xdr:graphicFrame macro="">
      <xdr:nvGraphicFramePr>
        <xdr:cNvPr id="8" name="Chart 7">
          <a:extLst>
            <a:ext uri="{FF2B5EF4-FFF2-40B4-BE49-F238E27FC236}">
              <a16:creationId xmlns:a16="http://schemas.microsoft.com/office/drawing/2014/main" id="{27E30313-73A3-4ED8-8451-B744DA674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xdr:row>
      <xdr:rowOff>180975</xdr:rowOff>
    </xdr:from>
    <xdr:to>
      <xdr:col>3</xdr:col>
      <xdr:colOff>247650</xdr:colOff>
      <xdr:row>10</xdr:row>
      <xdr:rowOff>180975</xdr:rowOff>
    </xdr:to>
    <xdr:sp macro="" textlink="">
      <xdr:nvSpPr>
        <xdr:cNvPr id="3" name="Rectangle 2">
          <a:extLst>
            <a:ext uri="{FF2B5EF4-FFF2-40B4-BE49-F238E27FC236}">
              <a16:creationId xmlns:a16="http://schemas.microsoft.com/office/drawing/2014/main" id="{51802911-5E90-CFD9-B1F5-C2DE8A33965B}"/>
            </a:ext>
          </a:extLst>
        </xdr:cNvPr>
        <xdr:cNvSpPr/>
      </xdr:nvSpPr>
      <xdr:spPr>
        <a:xfrm>
          <a:off x="9525" y="942975"/>
          <a:ext cx="2066925" cy="1143000"/>
        </a:xfrm>
        <a:prstGeom prst="rect">
          <a:avLst/>
        </a:prstGeom>
        <a:solidFill>
          <a:srgbClr val="1F4E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800"/>
            <a:t>Top-Selling</a:t>
          </a:r>
          <a:r>
            <a:rPr lang="en-IN" sz="1800" baseline="0"/>
            <a:t> </a:t>
          </a:r>
          <a:r>
            <a:rPr lang="en-IN" sz="1800"/>
            <a:t>Model</a:t>
          </a:r>
        </a:p>
      </xdr:txBody>
    </xdr:sp>
    <xdr:clientData/>
  </xdr:twoCellAnchor>
  <xdr:twoCellAnchor>
    <xdr:from>
      <xdr:col>0</xdr:col>
      <xdr:colOff>19050</xdr:colOff>
      <xdr:row>12</xdr:row>
      <xdr:rowOff>47625</xdr:rowOff>
    </xdr:from>
    <xdr:to>
      <xdr:col>3</xdr:col>
      <xdr:colOff>219075</xdr:colOff>
      <xdr:row>18</xdr:row>
      <xdr:rowOff>47625</xdr:rowOff>
    </xdr:to>
    <xdr:sp macro="" textlink="">
      <xdr:nvSpPr>
        <xdr:cNvPr id="4" name="Rectangle 3">
          <a:extLst>
            <a:ext uri="{FF2B5EF4-FFF2-40B4-BE49-F238E27FC236}">
              <a16:creationId xmlns:a16="http://schemas.microsoft.com/office/drawing/2014/main" id="{333A2F02-37A3-4062-A847-6EE3E56A4380}"/>
            </a:ext>
          </a:extLst>
        </xdr:cNvPr>
        <xdr:cNvSpPr/>
      </xdr:nvSpPr>
      <xdr:spPr>
        <a:xfrm>
          <a:off x="19050" y="2333625"/>
          <a:ext cx="2028825" cy="1143000"/>
        </a:xfrm>
        <a:prstGeom prst="rect">
          <a:avLst/>
        </a:prstGeom>
        <a:solidFill>
          <a:srgbClr val="1F4E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800"/>
            <a:t>Low-Selling Model</a:t>
          </a:r>
        </a:p>
      </xdr:txBody>
    </xdr:sp>
    <xdr:clientData/>
  </xdr:twoCellAnchor>
  <xdr:twoCellAnchor>
    <xdr:from>
      <xdr:col>0</xdr:col>
      <xdr:colOff>0</xdr:colOff>
      <xdr:row>19</xdr:row>
      <xdr:rowOff>0</xdr:rowOff>
    </xdr:from>
    <xdr:to>
      <xdr:col>3</xdr:col>
      <xdr:colOff>228600</xdr:colOff>
      <xdr:row>25</xdr:row>
      <xdr:rowOff>0</xdr:rowOff>
    </xdr:to>
    <xdr:sp macro="" textlink="">
      <xdr:nvSpPr>
        <xdr:cNvPr id="5" name="Rectangle 4">
          <a:extLst>
            <a:ext uri="{FF2B5EF4-FFF2-40B4-BE49-F238E27FC236}">
              <a16:creationId xmlns:a16="http://schemas.microsoft.com/office/drawing/2014/main" id="{483963CE-436C-4F43-A952-84091F933BEF}"/>
            </a:ext>
          </a:extLst>
        </xdr:cNvPr>
        <xdr:cNvSpPr/>
      </xdr:nvSpPr>
      <xdr:spPr>
        <a:xfrm>
          <a:off x="0" y="3619500"/>
          <a:ext cx="2057400" cy="1143000"/>
        </a:xfrm>
        <a:prstGeom prst="rect">
          <a:avLst/>
        </a:prstGeom>
        <a:solidFill>
          <a:srgbClr val="1F4E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a:t>Average Engine Size</a:t>
          </a:r>
        </a:p>
      </xdr:txBody>
    </xdr:sp>
    <xdr:clientData/>
  </xdr:twoCellAnchor>
  <xdr:twoCellAnchor>
    <xdr:from>
      <xdr:col>0</xdr:col>
      <xdr:colOff>0</xdr:colOff>
      <xdr:row>26</xdr:row>
      <xdr:rowOff>0</xdr:rowOff>
    </xdr:from>
    <xdr:to>
      <xdr:col>3</xdr:col>
      <xdr:colOff>180975</xdr:colOff>
      <xdr:row>32</xdr:row>
      <xdr:rowOff>0</xdr:rowOff>
    </xdr:to>
    <xdr:sp macro="" textlink="">
      <xdr:nvSpPr>
        <xdr:cNvPr id="6" name="Rectangle 5">
          <a:extLst>
            <a:ext uri="{FF2B5EF4-FFF2-40B4-BE49-F238E27FC236}">
              <a16:creationId xmlns:a16="http://schemas.microsoft.com/office/drawing/2014/main" id="{4E74E15C-2CD5-4C5E-A0B9-A362937139F7}"/>
            </a:ext>
          </a:extLst>
        </xdr:cNvPr>
        <xdr:cNvSpPr/>
      </xdr:nvSpPr>
      <xdr:spPr>
        <a:xfrm>
          <a:off x="0" y="4953000"/>
          <a:ext cx="2009775" cy="1143000"/>
        </a:xfrm>
        <a:prstGeom prst="rect">
          <a:avLst/>
        </a:prstGeom>
        <a:solidFill>
          <a:srgbClr val="1F4E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800"/>
            <a:t>Average Mileage</a:t>
          </a:r>
        </a:p>
        <a:p>
          <a:pPr algn="l"/>
          <a:endParaRPr lang="en-IN" sz="1100"/>
        </a:p>
      </xdr:txBody>
    </xdr:sp>
    <xdr:clientData/>
  </xdr:twoCellAnchor>
  <xdr:twoCellAnchor>
    <xdr:from>
      <xdr:col>0</xdr:col>
      <xdr:colOff>66675</xdr:colOff>
      <xdr:row>5</xdr:row>
      <xdr:rowOff>0</xdr:rowOff>
    </xdr:from>
    <xdr:to>
      <xdr:col>3</xdr:col>
      <xdr:colOff>104775</xdr:colOff>
      <xdr:row>7</xdr:row>
      <xdr:rowOff>114300</xdr:rowOff>
    </xdr:to>
    <xdr:sp macro="" textlink="">
      <xdr:nvSpPr>
        <xdr:cNvPr id="7" name="Rectangle 6">
          <a:extLst>
            <a:ext uri="{FF2B5EF4-FFF2-40B4-BE49-F238E27FC236}">
              <a16:creationId xmlns:a16="http://schemas.microsoft.com/office/drawing/2014/main" id="{38DCF3D5-8112-6C71-BEE8-27BD9C1ED7AD}"/>
            </a:ext>
          </a:extLst>
        </xdr:cNvPr>
        <xdr:cNvSpPr/>
      </xdr:nvSpPr>
      <xdr:spPr>
        <a:xfrm>
          <a:off x="66675" y="952500"/>
          <a:ext cx="18669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12</xdr:row>
      <xdr:rowOff>19050</xdr:rowOff>
    </xdr:from>
    <xdr:to>
      <xdr:col>3</xdr:col>
      <xdr:colOff>190500</xdr:colOff>
      <xdr:row>14</xdr:row>
      <xdr:rowOff>133350</xdr:rowOff>
    </xdr:to>
    <xdr:sp macro="" textlink="">
      <xdr:nvSpPr>
        <xdr:cNvPr id="8" name="Rectangle 7">
          <a:extLst>
            <a:ext uri="{FF2B5EF4-FFF2-40B4-BE49-F238E27FC236}">
              <a16:creationId xmlns:a16="http://schemas.microsoft.com/office/drawing/2014/main" id="{8475C2B5-2010-4BCB-9052-F484FF776204}"/>
            </a:ext>
          </a:extLst>
        </xdr:cNvPr>
        <xdr:cNvSpPr/>
      </xdr:nvSpPr>
      <xdr:spPr>
        <a:xfrm>
          <a:off x="0" y="2305050"/>
          <a:ext cx="20193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9525</xdr:rowOff>
    </xdr:from>
    <xdr:to>
      <xdr:col>3</xdr:col>
      <xdr:colOff>190500</xdr:colOff>
      <xdr:row>21</xdr:row>
      <xdr:rowOff>123825</xdr:rowOff>
    </xdr:to>
    <xdr:sp macro="" textlink="">
      <xdr:nvSpPr>
        <xdr:cNvPr id="9" name="Rectangle 8">
          <a:extLst>
            <a:ext uri="{FF2B5EF4-FFF2-40B4-BE49-F238E27FC236}">
              <a16:creationId xmlns:a16="http://schemas.microsoft.com/office/drawing/2014/main" id="{CFF84A37-BDDE-48AF-B1F3-53396195EA4F}"/>
            </a:ext>
          </a:extLst>
        </xdr:cNvPr>
        <xdr:cNvSpPr/>
      </xdr:nvSpPr>
      <xdr:spPr>
        <a:xfrm>
          <a:off x="0" y="3629025"/>
          <a:ext cx="20193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9525</xdr:rowOff>
    </xdr:from>
    <xdr:to>
      <xdr:col>3</xdr:col>
      <xdr:colOff>190500</xdr:colOff>
      <xdr:row>28</xdr:row>
      <xdr:rowOff>123825</xdr:rowOff>
    </xdr:to>
    <xdr:sp macro="" textlink="">
      <xdr:nvSpPr>
        <xdr:cNvPr id="10" name="Rectangle 9">
          <a:extLst>
            <a:ext uri="{FF2B5EF4-FFF2-40B4-BE49-F238E27FC236}">
              <a16:creationId xmlns:a16="http://schemas.microsoft.com/office/drawing/2014/main" id="{A01BB3B7-9223-4FCC-822D-D41D5C0F7268}"/>
            </a:ext>
          </a:extLst>
        </xdr:cNvPr>
        <xdr:cNvSpPr/>
      </xdr:nvSpPr>
      <xdr:spPr>
        <a:xfrm>
          <a:off x="0" y="4962525"/>
          <a:ext cx="201930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352424</xdr:colOff>
      <xdr:row>7</xdr:row>
      <xdr:rowOff>161925</xdr:rowOff>
    </xdr:from>
    <xdr:to>
      <xdr:col>2</xdr:col>
      <xdr:colOff>333375</xdr:colOff>
      <xdr:row>10</xdr:row>
      <xdr:rowOff>19050</xdr:rowOff>
    </xdr:to>
    <xdr:sp macro="" textlink="Sheet1!AP4">
      <xdr:nvSpPr>
        <xdr:cNvPr id="11" name="Rectangle 10">
          <a:extLst>
            <a:ext uri="{FF2B5EF4-FFF2-40B4-BE49-F238E27FC236}">
              <a16:creationId xmlns:a16="http://schemas.microsoft.com/office/drawing/2014/main" id="{1CAD0D3B-01DA-4DC3-B076-A202DD16F202}"/>
            </a:ext>
          </a:extLst>
        </xdr:cNvPr>
        <xdr:cNvSpPr/>
      </xdr:nvSpPr>
      <xdr:spPr>
        <a:xfrm>
          <a:off x="352424" y="1495425"/>
          <a:ext cx="1200151"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64ECD38-AE07-443C-AB90-9A0892DA1496}" type="TxLink">
            <a:rPr lang="en-US" sz="2400" b="0" i="0" u="none" strike="noStrike">
              <a:solidFill>
                <a:schemeClr val="bg1"/>
              </a:solidFill>
              <a:latin typeface="Aptos Narrow"/>
            </a:rPr>
            <a:pPr algn="l"/>
            <a:t>3 Series</a:t>
          </a:fld>
          <a:endParaRPr lang="en-IN" sz="2400">
            <a:solidFill>
              <a:schemeClr val="bg1"/>
            </a:solidFill>
          </a:endParaRPr>
        </a:p>
      </xdr:txBody>
    </xdr:sp>
    <xdr:clientData/>
  </xdr:twoCellAnchor>
  <xdr:twoCellAnchor>
    <xdr:from>
      <xdr:col>0</xdr:col>
      <xdr:colOff>304801</xdr:colOff>
      <xdr:row>28</xdr:row>
      <xdr:rowOff>171450</xdr:rowOff>
    </xdr:from>
    <xdr:to>
      <xdr:col>2</xdr:col>
      <xdr:colOff>304801</xdr:colOff>
      <xdr:row>31</xdr:row>
      <xdr:rowOff>28575</xdr:rowOff>
    </xdr:to>
    <xdr:sp macro="" textlink="Sheet1!AN4">
      <xdr:nvSpPr>
        <xdr:cNvPr id="12" name="Rectangle 11">
          <a:extLst>
            <a:ext uri="{FF2B5EF4-FFF2-40B4-BE49-F238E27FC236}">
              <a16:creationId xmlns:a16="http://schemas.microsoft.com/office/drawing/2014/main" id="{926CBDC7-C10B-44AF-B165-47731C6F15C0}"/>
            </a:ext>
          </a:extLst>
        </xdr:cNvPr>
        <xdr:cNvSpPr/>
      </xdr:nvSpPr>
      <xdr:spPr>
        <a:xfrm>
          <a:off x="304801" y="5505450"/>
          <a:ext cx="1219200"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A84C3E-11EE-4588-9242-EF2E1DC1D84B}" type="TxLink">
            <a:rPr lang="en-US" sz="2000" b="0" i="0" u="none" strike="noStrike">
              <a:solidFill>
                <a:schemeClr val="bg1"/>
              </a:solidFill>
              <a:latin typeface="Aptos Narrow"/>
            </a:rPr>
            <a:pPr algn="l"/>
            <a:t>70126.84</a:t>
          </a:fld>
          <a:endParaRPr lang="en-IN" sz="2000">
            <a:solidFill>
              <a:schemeClr val="bg1"/>
            </a:solidFill>
          </a:endParaRPr>
        </a:p>
      </xdr:txBody>
    </xdr:sp>
    <xdr:clientData/>
  </xdr:twoCellAnchor>
  <xdr:twoCellAnchor>
    <xdr:from>
      <xdr:col>0</xdr:col>
      <xdr:colOff>571500</xdr:colOff>
      <xdr:row>22</xdr:row>
      <xdr:rowOff>28575</xdr:rowOff>
    </xdr:from>
    <xdr:to>
      <xdr:col>2</xdr:col>
      <xdr:colOff>123825</xdr:colOff>
      <xdr:row>24</xdr:row>
      <xdr:rowOff>76200</xdr:rowOff>
    </xdr:to>
    <xdr:sp macro="" textlink="Sheet1!AL4">
      <xdr:nvSpPr>
        <xdr:cNvPr id="13" name="Rectangle 12">
          <a:extLst>
            <a:ext uri="{FF2B5EF4-FFF2-40B4-BE49-F238E27FC236}">
              <a16:creationId xmlns:a16="http://schemas.microsoft.com/office/drawing/2014/main" id="{22C15152-F61E-46FC-BD1A-380B0ABEE5D7}"/>
            </a:ext>
          </a:extLst>
        </xdr:cNvPr>
        <xdr:cNvSpPr/>
      </xdr:nvSpPr>
      <xdr:spPr>
        <a:xfrm>
          <a:off x="571500" y="4219575"/>
          <a:ext cx="771525"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DFAC67-C6E6-4A4A-B70E-7060D9B25F49}" type="TxLink">
            <a:rPr lang="en-US" sz="2000" b="0" i="0" u="none" strike="noStrike">
              <a:solidFill>
                <a:schemeClr val="bg1"/>
              </a:solidFill>
              <a:latin typeface="Aptos Narrow"/>
            </a:rPr>
            <a:pPr algn="l"/>
            <a:t>2.46</a:t>
          </a:fld>
          <a:endParaRPr lang="en-IN" sz="2000">
            <a:solidFill>
              <a:schemeClr val="bg1"/>
            </a:solidFill>
          </a:endParaRPr>
        </a:p>
      </xdr:txBody>
    </xdr:sp>
    <xdr:clientData/>
  </xdr:twoCellAnchor>
  <xdr:twoCellAnchor>
    <xdr:from>
      <xdr:col>0</xdr:col>
      <xdr:colOff>600076</xdr:colOff>
      <xdr:row>15</xdr:row>
      <xdr:rowOff>0</xdr:rowOff>
    </xdr:from>
    <xdr:to>
      <xdr:col>1</xdr:col>
      <xdr:colOff>581026</xdr:colOff>
      <xdr:row>17</xdr:row>
      <xdr:rowOff>47625</xdr:rowOff>
    </xdr:to>
    <xdr:sp macro="" textlink="Sheet1!AR4">
      <xdr:nvSpPr>
        <xdr:cNvPr id="14" name="Rectangle 13">
          <a:extLst>
            <a:ext uri="{FF2B5EF4-FFF2-40B4-BE49-F238E27FC236}">
              <a16:creationId xmlns:a16="http://schemas.microsoft.com/office/drawing/2014/main" id="{A79AE96A-748D-453B-A82A-B7E8A980243B}"/>
            </a:ext>
          </a:extLst>
        </xdr:cNvPr>
        <xdr:cNvSpPr/>
      </xdr:nvSpPr>
      <xdr:spPr>
        <a:xfrm>
          <a:off x="600076" y="2857500"/>
          <a:ext cx="590550"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B13D60-C0AE-48AA-A229-C4E9B1E4DB16}" type="TxLink">
            <a:rPr lang="en-US" sz="2000" b="0" i="0" u="none" strike="noStrike">
              <a:solidFill>
                <a:schemeClr val="bg1"/>
              </a:solidFill>
              <a:latin typeface="Aptos Narrow"/>
            </a:rPr>
            <a:pPr algn="l"/>
            <a:t> </a:t>
          </a:fld>
          <a:endParaRPr lang="en-IN" sz="2000">
            <a:solidFill>
              <a:schemeClr val="bg1"/>
            </a:solidFill>
          </a:endParaRPr>
        </a:p>
      </xdr:txBody>
    </xdr:sp>
    <xdr:clientData/>
  </xdr:twoCellAnchor>
  <xdr:twoCellAnchor>
    <xdr:from>
      <xdr:col>0</xdr:col>
      <xdr:colOff>0</xdr:colOff>
      <xdr:row>0</xdr:row>
      <xdr:rowOff>19050</xdr:rowOff>
    </xdr:from>
    <xdr:to>
      <xdr:col>9</xdr:col>
      <xdr:colOff>257175</xdr:colOff>
      <xdr:row>2</xdr:row>
      <xdr:rowOff>104775</xdr:rowOff>
    </xdr:to>
    <xdr:sp macro="" textlink="">
      <xdr:nvSpPr>
        <xdr:cNvPr id="18" name="Rectangle 17">
          <a:extLst>
            <a:ext uri="{FF2B5EF4-FFF2-40B4-BE49-F238E27FC236}">
              <a16:creationId xmlns:a16="http://schemas.microsoft.com/office/drawing/2014/main" id="{214E42E5-32C0-4C9C-940E-D774506E3098}"/>
            </a:ext>
          </a:extLst>
        </xdr:cNvPr>
        <xdr:cNvSpPr/>
      </xdr:nvSpPr>
      <xdr:spPr>
        <a:xfrm>
          <a:off x="0" y="19050"/>
          <a:ext cx="5743575"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Product, Technology &amp; Performance Insights</a:t>
          </a:r>
        </a:p>
        <a:p>
          <a:pPr algn="l"/>
          <a:r>
            <a:rPr lang="en-IN" sz="2400" b="1"/>
            <a:t>Product, Technology &amp; Performance Insights</a:t>
          </a:r>
        </a:p>
        <a:p>
          <a:pPr algn="l"/>
          <a:r>
            <a:rPr lang="en-IN" sz="1100"/>
            <a:t>Product, Technology &amp; Performance Insights</a:t>
          </a:r>
        </a:p>
        <a:p>
          <a:pPr algn="l"/>
          <a:endParaRPr lang="en-IN" sz="1100"/>
        </a:p>
      </xdr:txBody>
    </xdr:sp>
    <xdr:clientData/>
  </xdr:twoCellAnchor>
  <xdr:twoCellAnchor>
    <xdr:from>
      <xdr:col>3</xdr:col>
      <xdr:colOff>209551</xdr:colOff>
      <xdr:row>4</xdr:row>
      <xdr:rowOff>152400</xdr:rowOff>
    </xdr:from>
    <xdr:to>
      <xdr:col>11</xdr:col>
      <xdr:colOff>285751</xdr:colOff>
      <xdr:row>21</xdr:row>
      <xdr:rowOff>38100</xdr:rowOff>
    </xdr:to>
    <xdr:graphicFrame macro="">
      <xdr:nvGraphicFramePr>
        <xdr:cNvPr id="24" name="Chart 23">
          <a:extLst>
            <a:ext uri="{FF2B5EF4-FFF2-40B4-BE49-F238E27FC236}">
              <a16:creationId xmlns:a16="http://schemas.microsoft.com/office/drawing/2014/main" id="{64F6D103-A7AC-4790-B73F-6277A8337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409575</xdr:colOff>
      <xdr:row>4</xdr:row>
      <xdr:rowOff>104776</xdr:rowOff>
    </xdr:from>
    <xdr:to>
      <xdr:col>29</xdr:col>
      <xdr:colOff>209550</xdr:colOff>
      <xdr:row>20</xdr:row>
      <xdr:rowOff>57150</xdr:rowOff>
    </xdr:to>
    <xdr:graphicFrame macro="">
      <xdr:nvGraphicFramePr>
        <xdr:cNvPr id="27" name="Chart 26">
          <a:extLst>
            <a:ext uri="{FF2B5EF4-FFF2-40B4-BE49-F238E27FC236}">
              <a16:creationId xmlns:a16="http://schemas.microsoft.com/office/drawing/2014/main" id="{98BCF45C-F455-4380-A5FD-185B48987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xdr:colOff>
      <xdr:row>0</xdr:row>
      <xdr:rowOff>9525</xdr:rowOff>
    </xdr:from>
    <xdr:to>
      <xdr:col>15</xdr:col>
      <xdr:colOff>504825</xdr:colOff>
      <xdr:row>3</xdr:row>
      <xdr:rowOff>114300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FE2B1434-30F3-891D-CCE9-E0871E33B5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3225" y="9525"/>
              <a:ext cx="28956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266701</xdr:colOff>
      <xdr:row>0</xdr:row>
      <xdr:rowOff>0</xdr:rowOff>
    </xdr:from>
    <xdr:to>
      <xdr:col>10</xdr:col>
      <xdr:colOff>390525</xdr:colOff>
      <xdr:row>3</xdr:row>
      <xdr:rowOff>190499</xdr:rowOff>
    </xdr:to>
    <xdr:pic>
      <xdr:nvPicPr>
        <xdr:cNvPr id="16" name="Picture 15">
          <a:extLst>
            <a:ext uri="{FF2B5EF4-FFF2-40B4-BE49-F238E27FC236}">
              <a16:creationId xmlns:a16="http://schemas.microsoft.com/office/drawing/2014/main" id="{B0FCA3B6-7536-EDB2-AD16-BCF74A85B8C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6107" r="14765"/>
        <a:stretch>
          <a:fillRect/>
        </a:stretch>
      </xdr:blipFill>
      <xdr:spPr>
        <a:xfrm>
          <a:off x="5753101" y="0"/>
          <a:ext cx="733424" cy="761999"/>
        </a:xfrm>
        <a:prstGeom prst="rect">
          <a:avLst/>
        </a:prstGeom>
      </xdr:spPr>
    </xdr:pic>
    <xdr:clientData/>
  </xdr:twoCellAnchor>
  <xdr:twoCellAnchor>
    <xdr:from>
      <xdr:col>18</xdr:col>
      <xdr:colOff>371475</xdr:colOff>
      <xdr:row>21</xdr:row>
      <xdr:rowOff>66675</xdr:rowOff>
    </xdr:from>
    <xdr:to>
      <xdr:col>29</xdr:col>
      <xdr:colOff>0</xdr:colOff>
      <xdr:row>36</xdr:row>
      <xdr:rowOff>180975</xdr:rowOff>
    </xdr:to>
    <xdr:graphicFrame macro="">
      <xdr:nvGraphicFramePr>
        <xdr:cNvPr id="2" name="Chart 1">
          <a:extLst>
            <a:ext uri="{FF2B5EF4-FFF2-40B4-BE49-F238E27FC236}">
              <a16:creationId xmlns:a16="http://schemas.microsoft.com/office/drawing/2014/main" id="{30D76A6D-936A-4808-8082-35A4BD437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190499</xdr:colOff>
      <xdr:row>20</xdr:row>
      <xdr:rowOff>161925</xdr:rowOff>
    </xdr:from>
    <xdr:to>
      <xdr:col>18</xdr:col>
      <xdr:colOff>352424</xdr:colOff>
      <xdr:row>36</xdr:row>
      <xdr:rowOff>76201</xdr:rowOff>
    </xdr:to>
    <xdr:graphicFrame macro="">
      <xdr:nvGraphicFramePr>
        <xdr:cNvPr id="21" name="Chart 20">
          <a:extLst>
            <a:ext uri="{FF2B5EF4-FFF2-40B4-BE49-F238E27FC236}">
              <a16:creationId xmlns:a16="http://schemas.microsoft.com/office/drawing/2014/main" id="{7ECCA903-8837-4ED5-BF14-60E0A85D4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266700</xdr:colOff>
      <xdr:row>4</xdr:row>
      <xdr:rowOff>85726</xdr:rowOff>
    </xdr:from>
    <xdr:to>
      <xdr:col>20</xdr:col>
      <xdr:colOff>285750</xdr:colOff>
      <xdr:row>20</xdr:row>
      <xdr:rowOff>38100</xdr:rowOff>
    </xdr:to>
    <xdr:graphicFrame macro="">
      <xdr:nvGraphicFramePr>
        <xdr:cNvPr id="17" name="Chart 16">
          <a:extLst>
            <a:ext uri="{FF2B5EF4-FFF2-40B4-BE49-F238E27FC236}">
              <a16:creationId xmlns:a16="http://schemas.microsoft.com/office/drawing/2014/main" id="{2441BD89-75C6-4260-8588-958871B80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552450</xdr:colOff>
      <xdr:row>0</xdr:row>
      <xdr:rowOff>9526</xdr:rowOff>
    </xdr:from>
    <xdr:to>
      <xdr:col>28</xdr:col>
      <xdr:colOff>600076</xdr:colOff>
      <xdr:row>4</xdr:row>
      <xdr:rowOff>161925</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6D1A3018-55C4-4A8F-9B9E-0C012C7EE6E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696450" y="9526"/>
              <a:ext cx="7972426"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485775</xdr:colOff>
      <xdr:row>15</xdr:row>
      <xdr:rowOff>47625</xdr:rowOff>
    </xdr:from>
    <xdr:to>
      <xdr:col>2</xdr:col>
      <xdr:colOff>400050</xdr:colOff>
      <xdr:row>17</xdr:row>
      <xdr:rowOff>95250</xdr:rowOff>
    </xdr:to>
    <xdr:sp macro="" textlink="Sheet1!AV4">
      <xdr:nvSpPr>
        <xdr:cNvPr id="15" name="Rectangle 14">
          <a:extLst>
            <a:ext uri="{FF2B5EF4-FFF2-40B4-BE49-F238E27FC236}">
              <a16:creationId xmlns:a16="http://schemas.microsoft.com/office/drawing/2014/main" id="{265F5410-FA82-48D5-B044-0EC6A0E3FB8C}"/>
            </a:ext>
          </a:extLst>
        </xdr:cNvPr>
        <xdr:cNvSpPr/>
      </xdr:nvSpPr>
      <xdr:spPr>
        <a:xfrm>
          <a:off x="485775" y="2905125"/>
          <a:ext cx="1133475"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33797FD-D526-4C09-A9D7-123DB63F2A92}" type="TxLink">
            <a:rPr lang="en-US" sz="2000" b="0" i="0" u="none" strike="noStrike">
              <a:solidFill>
                <a:schemeClr val="bg1"/>
              </a:solidFill>
              <a:latin typeface="Aptos Narrow"/>
            </a:rPr>
            <a:pPr algn="l"/>
            <a:t>X6</a:t>
          </a:fld>
          <a:endParaRPr lang="en-IN" sz="20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295275</xdr:colOff>
      <xdr:row>19</xdr:row>
      <xdr:rowOff>80961</xdr:rowOff>
    </xdr:from>
    <xdr:to>
      <xdr:col>7</xdr:col>
      <xdr:colOff>247650</xdr:colOff>
      <xdr:row>39</xdr:row>
      <xdr:rowOff>28574</xdr:rowOff>
    </xdr:to>
    <xdr:graphicFrame macro="">
      <xdr:nvGraphicFramePr>
        <xdr:cNvPr id="2" name="Chart 1">
          <a:extLst>
            <a:ext uri="{FF2B5EF4-FFF2-40B4-BE49-F238E27FC236}">
              <a16:creationId xmlns:a16="http://schemas.microsoft.com/office/drawing/2014/main" id="{81B9915D-6655-805F-F37D-145745227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19049</xdr:colOff>
      <xdr:row>19</xdr:row>
      <xdr:rowOff>57150</xdr:rowOff>
    </xdr:from>
    <xdr:to>
      <xdr:col>18</xdr:col>
      <xdr:colOff>276224</xdr:colOff>
      <xdr:row>39</xdr:row>
      <xdr:rowOff>33337</xdr:rowOff>
    </xdr:to>
    <xdr:graphicFrame macro="">
      <xdr:nvGraphicFramePr>
        <xdr:cNvPr id="3" name="Chart 2">
          <a:extLst>
            <a:ext uri="{FF2B5EF4-FFF2-40B4-BE49-F238E27FC236}">
              <a16:creationId xmlns:a16="http://schemas.microsoft.com/office/drawing/2014/main" id="{D23C6C8E-CDC0-8A6F-5B7B-C7E5D9A49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538161</xdr:colOff>
      <xdr:row>19</xdr:row>
      <xdr:rowOff>76200</xdr:rowOff>
    </xdr:from>
    <xdr:to>
      <xdr:col>30</xdr:col>
      <xdr:colOff>219075</xdr:colOff>
      <xdr:row>39</xdr:row>
      <xdr:rowOff>38100</xdr:rowOff>
    </xdr:to>
    <xdr:graphicFrame macro="">
      <xdr:nvGraphicFramePr>
        <xdr:cNvPr id="4" name="Chart 3">
          <a:extLst>
            <a:ext uri="{FF2B5EF4-FFF2-40B4-BE49-F238E27FC236}">
              <a16:creationId xmlns:a16="http://schemas.microsoft.com/office/drawing/2014/main" id="{83EF9FD4-2BFA-76E8-1884-2EB84E009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3</xdr:col>
      <xdr:colOff>581026</xdr:colOff>
      <xdr:row>2</xdr:row>
      <xdr:rowOff>104775</xdr:rowOff>
    </xdr:to>
    <xdr:sp macro="" textlink="">
      <xdr:nvSpPr>
        <xdr:cNvPr id="2" name="Rectangle 1">
          <a:extLst>
            <a:ext uri="{FF2B5EF4-FFF2-40B4-BE49-F238E27FC236}">
              <a16:creationId xmlns:a16="http://schemas.microsoft.com/office/drawing/2014/main" id="{BA426C1D-A5C9-ACA5-920C-09DFDFC91D52}"/>
            </a:ext>
          </a:extLst>
        </xdr:cNvPr>
        <xdr:cNvSpPr/>
      </xdr:nvSpPr>
      <xdr:spPr>
        <a:xfrm>
          <a:off x="19050" y="28575"/>
          <a:ext cx="2390776"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400" b="1">
              <a:solidFill>
                <a:schemeClr val="tx1"/>
              </a:solidFill>
            </a:rPr>
            <a:t>Market Overview </a:t>
          </a:r>
        </a:p>
      </xdr:txBody>
    </xdr:sp>
    <xdr:clientData/>
  </xdr:twoCellAnchor>
  <xdr:twoCellAnchor>
    <xdr:from>
      <xdr:col>0</xdr:col>
      <xdr:colOff>19050</xdr:colOff>
      <xdr:row>25</xdr:row>
      <xdr:rowOff>123825</xdr:rowOff>
    </xdr:from>
    <xdr:to>
      <xdr:col>3</xdr:col>
      <xdr:colOff>390525</xdr:colOff>
      <xdr:row>31</xdr:row>
      <xdr:rowOff>180975</xdr:rowOff>
    </xdr:to>
    <xdr:sp macro="" textlink="">
      <xdr:nvSpPr>
        <xdr:cNvPr id="3" name="Rectangle 2">
          <a:extLst>
            <a:ext uri="{FF2B5EF4-FFF2-40B4-BE49-F238E27FC236}">
              <a16:creationId xmlns:a16="http://schemas.microsoft.com/office/drawing/2014/main" id="{795F580E-405C-0485-1EA7-7D58E76EE102}"/>
            </a:ext>
          </a:extLst>
        </xdr:cNvPr>
        <xdr:cNvSpPr/>
      </xdr:nvSpPr>
      <xdr:spPr>
        <a:xfrm>
          <a:off x="19050" y="4886325"/>
          <a:ext cx="2200275" cy="1200150"/>
        </a:xfrm>
        <a:prstGeom prst="rect">
          <a:avLst/>
        </a:prstGeom>
        <a:solidFill>
          <a:srgbClr val="1F4E99"/>
        </a:solidFill>
        <a:ln>
          <a:solidFill>
            <a:srgbClr val="1F4E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15</xdr:row>
      <xdr:rowOff>161925</xdr:rowOff>
    </xdr:from>
    <xdr:to>
      <xdr:col>3</xdr:col>
      <xdr:colOff>400050</xdr:colOff>
      <xdr:row>22</xdr:row>
      <xdr:rowOff>28575</xdr:rowOff>
    </xdr:to>
    <xdr:sp macro="" textlink="">
      <xdr:nvSpPr>
        <xdr:cNvPr id="4" name="Rectangle 3">
          <a:extLst>
            <a:ext uri="{FF2B5EF4-FFF2-40B4-BE49-F238E27FC236}">
              <a16:creationId xmlns:a16="http://schemas.microsoft.com/office/drawing/2014/main" id="{85E66644-009D-4F56-8EC0-06141E024808}"/>
            </a:ext>
          </a:extLst>
        </xdr:cNvPr>
        <xdr:cNvSpPr/>
      </xdr:nvSpPr>
      <xdr:spPr>
        <a:xfrm>
          <a:off x="28575" y="3019425"/>
          <a:ext cx="2200275" cy="1200150"/>
        </a:xfrm>
        <a:prstGeom prst="rect">
          <a:avLst/>
        </a:prstGeom>
        <a:solidFill>
          <a:srgbClr val="1F4E99"/>
        </a:solidFill>
        <a:ln>
          <a:solidFill>
            <a:srgbClr val="1F4E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Total Revenue</a:t>
          </a:r>
        </a:p>
      </xdr:txBody>
    </xdr:sp>
    <xdr:clientData/>
  </xdr:twoCellAnchor>
  <xdr:twoCellAnchor>
    <xdr:from>
      <xdr:col>0</xdr:col>
      <xdr:colOff>28575</xdr:colOff>
      <xdr:row>5</xdr:row>
      <xdr:rowOff>142875</xdr:rowOff>
    </xdr:from>
    <xdr:to>
      <xdr:col>3</xdr:col>
      <xdr:colOff>400050</xdr:colOff>
      <xdr:row>12</xdr:row>
      <xdr:rowOff>9525</xdr:rowOff>
    </xdr:to>
    <xdr:sp macro="" textlink="">
      <xdr:nvSpPr>
        <xdr:cNvPr id="5" name="Rectangle 4">
          <a:extLst>
            <a:ext uri="{FF2B5EF4-FFF2-40B4-BE49-F238E27FC236}">
              <a16:creationId xmlns:a16="http://schemas.microsoft.com/office/drawing/2014/main" id="{2E2E1D43-7F24-4EB0-BD05-11F9A2E55E04}"/>
            </a:ext>
          </a:extLst>
        </xdr:cNvPr>
        <xdr:cNvSpPr/>
      </xdr:nvSpPr>
      <xdr:spPr>
        <a:xfrm>
          <a:off x="28575" y="1095375"/>
          <a:ext cx="2200275" cy="1200150"/>
        </a:xfrm>
        <a:prstGeom prst="rect">
          <a:avLst/>
        </a:prstGeom>
        <a:solidFill>
          <a:srgbClr val="1F4E99"/>
        </a:solidFill>
        <a:ln>
          <a:solidFill>
            <a:srgbClr val="1F4E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5</xdr:row>
      <xdr:rowOff>180975</xdr:rowOff>
    </xdr:from>
    <xdr:to>
      <xdr:col>3</xdr:col>
      <xdr:colOff>247650</xdr:colOff>
      <xdr:row>8</xdr:row>
      <xdr:rowOff>47625</xdr:rowOff>
    </xdr:to>
    <xdr:sp macro="" textlink="">
      <xdr:nvSpPr>
        <xdr:cNvPr id="7" name="Rectangle 6">
          <a:extLst>
            <a:ext uri="{FF2B5EF4-FFF2-40B4-BE49-F238E27FC236}">
              <a16:creationId xmlns:a16="http://schemas.microsoft.com/office/drawing/2014/main" id="{84F59CDE-F2E9-DEB7-842A-F5BA04471FAD}"/>
            </a:ext>
          </a:extLst>
        </xdr:cNvPr>
        <xdr:cNvSpPr/>
      </xdr:nvSpPr>
      <xdr:spPr>
        <a:xfrm>
          <a:off x="152400" y="1133475"/>
          <a:ext cx="1924050" cy="438150"/>
        </a:xfrm>
        <a:prstGeom prst="rect">
          <a:avLst/>
        </a:prstGeom>
        <a:solidFill>
          <a:srgbClr val="1F4E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rPr>
            <a:t>Total Units sold</a:t>
          </a:r>
        </a:p>
      </xdr:txBody>
    </xdr:sp>
    <xdr:clientData/>
  </xdr:twoCellAnchor>
  <xdr:twoCellAnchor>
    <xdr:from>
      <xdr:col>0</xdr:col>
      <xdr:colOff>123825</xdr:colOff>
      <xdr:row>16</xdr:row>
      <xdr:rowOff>9525</xdr:rowOff>
    </xdr:from>
    <xdr:to>
      <xdr:col>3</xdr:col>
      <xdr:colOff>219075</xdr:colOff>
      <xdr:row>18</xdr:row>
      <xdr:rowOff>66675</xdr:rowOff>
    </xdr:to>
    <xdr:sp macro="" textlink="">
      <xdr:nvSpPr>
        <xdr:cNvPr id="8" name="Rectangle 7">
          <a:extLst>
            <a:ext uri="{FF2B5EF4-FFF2-40B4-BE49-F238E27FC236}">
              <a16:creationId xmlns:a16="http://schemas.microsoft.com/office/drawing/2014/main" id="{21700E1E-50EF-4CB0-BD50-53EB4A6A06A2}"/>
            </a:ext>
          </a:extLst>
        </xdr:cNvPr>
        <xdr:cNvSpPr/>
      </xdr:nvSpPr>
      <xdr:spPr>
        <a:xfrm>
          <a:off x="123825" y="3057525"/>
          <a:ext cx="192405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26</xdr:row>
      <xdr:rowOff>0</xdr:rowOff>
    </xdr:from>
    <xdr:to>
      <xdr:col>3</xdr:col>
      <xdr:colOff>180975</xdr:colOff>
      <xdr:row>28</xdr:row>
      <xdr:rowOff>57150</xdr:rowOff>
    </xdr:to>
    <xdr:sp macro="" textlink="">
      <xdr:nvSpPr>
        <xdr:cNvPr id="9" name="Rectangle 8">
          <a:extLst>
            <a:ext uri="{FF2B5EF4-FFF2-40B4-BE49-F238E27FC236}">
              <a16:creationId xmlns:a16="http://schemas.microsoft.com/office/drawing/2014/main" id="{D0659938-9B0C-4B4D-A2F7-EE23B42FC49E}"/>
            </a:ext>
          </a:extLst>
        </xdr:cNvPr>
        <xdr:cNvSpPr/>
      </xdr:nvSpPr>
      <xdr:spPr>
        <a:xfrm>
          <a:off x="85725" y="4953000"/>
          <a:ext cx="192405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466725</xdr:colOff>
      <xdr:row>25</xdr:row>
      <xdr:rowOff>180975</xdr:rowOff>
    </xdr:from>
    <xdr:to>
      <xdr:col>2</xdr:col>
      <xdr:colOff>323850</xdr:colOff>
      <xdr:row>27</xdr:row>
      <xdr:rowOff>123825</xdr:rowOff>
    </xdr:to>
    <xdr:sp macro="" textlink="">
      <xdr:nvSpPr>
        <xdr:cNvPr id="4097" name="Text Box 1">
          <a:extLst>
            <a:ext uri="{FF2B5EF4-FFF2-40B4-BE49-F238E27FC236}">
              <a16:creationId xmlns:a16="http://schemas.microsoft.com/office/drawing/2014/main" id="{2103876A-2616-AA5D-A3FB-5D2FFE084CBC}"/>
            </a:ext>
          </a:extLst>
        </xdr:cNvPr>
        <xdr:cNvSpPr txBox="1">
          <a:spLocks noChangeArrowheads="1"/>
        </xdr:cNvSpPr>
      </xdr:nvSpPr>
      <xdr:spPr bwMode="auto">
        <a:xfrm>
          <a:off x="466725" y="4943475"/>
          <a:ext cx="1076325" cy="32385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2000" b="0" i="0" u="none" strike="noStrike" baseline="0">
              <a:solidFill>
                <a:schemeClr val="bg1"/>
              </a:solidFill>
              <a:latin typeface="Aptos Narrow"/>
            </a:rPr>
            <a:t>Avg Price</a:t>
          </a:r>
        </a:p>
      </xdr:txBody>
    </xdr:sp>
    <xdr:clientData/>
  </xdr:twoCellAnchor>
  <xdr:twoCellAnchor>
    <xdr:from>
      <xdr:col>0</xdr:col>
      <xdr:colOff>447675</xdr:colOff>
      <xdr:row>29</xdr:row>
      <xdr:rowOff>28575</xdr:rowOff>
    </xdr:from>
    <xdr:to>
      <xdr:col>2</xdr:col>
      <xdr:colOff>257175</xdr:colOff>
      <xdr:row>31</xdr:row>
      <xdr:rowOff>57150</xdr:rowOff>
    </xdr:to>
    <xdr:sp macro="" textlink="Sheet2!S3">
      <xdr:nvSpPr>
        <xdr:cNvPr id="11" name="Rectangle 10">
          <a:extLst>
            <a:ext uri="{FF2B5EF4-FFF2-40B4-BE49-F238E27FC236}">
              <a16:creationId xmlns:a16="http://schemas.microsoft.com/office/drawing/2014/main" id="{C084EE7D-C434-9B3D-7B3B-B8174D8C8DFA}"/>
            </a:ext>
          </a:extLst>
        </xdr:cNvPr>
        <xdr:cNvSpPr/>
      </xdr:nvSpPr>
      <xdr:spPr>
        <a:xfrm>
          <a:off x="447675" y="5553075"/>
          <a:ext cx="1028700"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E65980-BEE3-403C-9321-F774D54D7D9B}" type="TxLink">
            <a:rPr lang="en-US" sz="2000" b="0" i="0" u="none" strike="noStrike">
              <a:solidFill>
                <a:schemeClr val="bg1"/>
              </a:solidFill>
              <a:latin typeface="Aptos Narrow"/>
            </a:rPr>
            <a:pPr algn="l"/>
            <a:t>$29,927 </a:t>
          </a:fld>
          <a:endParaRPr lang="en-IN" sz="2000">
            <a:solidFill>
              <a:schemeClr val="bg1"/>
            </a:solidFill>
          </a:endParaRPr>
        </a:p>
      </xdr:txBody>
    </xdr:sp>
    <xdr:clientData/>
  </xdr:twoCellAnchor>
  <xdr:twoCellAnchor>
    <xdr:from>
      <xdr:col>0</xdr:col>
      <xdr:colOff>76200</xdr:colOff>
      <xdr:row>19</xdr:row>
      <xdr:rowOff>38100</xdr:rowOff>
    </xdr:from>
    <xdr:to>
      <xdr:col>3</xdr:col>
      <xdr:colOff>200025</xdr:colOff>
      <xdr:row>21</xdr:row>
      <xdr:rowOff>104775</xdr:rowOff>
    </xdr:to>
    <xdr:sp macro="" textlink="Sheet2!Q3">
      <xdr:nvSpPr>
        <xdr:cNvPr id="12" name="Rectangle 11">
          <a:extLst>
            <a:ext uri="{FF2B5EF4-FFF2-40B4-BE49-F238E27FC236}">
              <a16:creationId xmlns:a16="http://schemas.microsoft.com/office/drawing/2014/main" id="{10946538-083E-4FF1-9EBE-52EFA4CB5948}"/>
            </a:ext>
          </a:extLst>
        </xdr:cNvPr>
        <xdr:cNvSpPr/>
      </xdr:nvSpPr>
      <xdr:spPr>
        <a:xfrm>
          <a:off x="76200" y="3657600"/>
          <a:ext cx="1952625"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415296-3221-4413-BED9-D562BDC6E978}" type="TxLink">
            <a:rPr lang="en-US" sz="1600" b="0" i="0" u="none" strike="noStrike">
              <a:solidFill>
                <a:schemeClr val="bg1"/>
              </a:solidFill>
              <a:latin typeface="Aptos Narrow"/>
            </a:rPr>
            <a:pPr algn="l"/>
            <a:t>$25,87,16,05,69,844</a:t>
          </a:fld>
          <a:endParaRPr lang="en-IN" sz="1600" b="0">
            <a:solidFill>
              <a:schemeClr val="bg1"/>
            </a:solidFill>
          </a:endParaRPr>
        </a:p>
      </xdr:txBody>
    </xdr:sp>
    <xdr:clientData/>
  </xdr:twoCellAnchor>
  <xdr:twoCellAnchor>
    <xdr:from>
      <xdr:col>0</xdr:col>
      <xdr:colOff>390525</xdr:colOff>
      <xdr:row>9</xdr:row>
      <xdr:rowOff>9525</xdr:rowOff>
    </xdr:from>
    <xdr:to>
      <xdr:col>2</xdr:col>
      <xdr:colOff>409575</xdr:colOff>
      <xdr:row>11</xdr:row>
      <xdr:rowOff>38100</xdr:rowOff>
    </xdr:to>
    <xdr:sp macro="" textlink="Sheet2!O3">
      <xdr:nvSpPr>
        <xdr:cNvPr id="13" name="Rectangle 12">
          <a:extLst>
            <a:ext uri="{FF2B5EF4-FFF2-40B4-BE49-F238E27FC236}">
              <a16:creationId xmlns:a16="http://schemas.microsoft.com/office/drawing/2014/main" id="{1045DD83-9931-4664-86B0-7F106A439F0B}"/>
            </a:ext>
          </a:extLst>
        </xdr:cNvPr>
        <xdr:cNvSpPr/>
      </xdr:nvSpPr>
      <xdr:spPr>
        <a:xfrm>
          <a:off x="390525" y="1724025"/>
          <a:ext cx="1238250"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0018B8-2191-4AE2-9ED3-D639997D20F0}" type="TxLink">
            <a:rPr lang="en-US" sz="2000" b="0" i="0" u="none" strike="noStrike">
              <a:solidFill>
                <a:schemeClr val="bg1"/>
              </a:solidFill>
              <a:latin typeface="Aptos Narrow"/>
            </a:rPr>
            <a:pPr algn="l"/>
            <a:t> 4,80,278 </a:t>
          </a:fld>
          <a:endParaRPr lang="en-IN" sz="2000">
            <a:solidFill>
              <a:schemeClr val="bg1"/>
            </a:solidFill>
          </a:endParaRPr>
        </a:p>
      </xdr:txBody>
    </xdr:sp>
    <xdr:clientData/>
  </xdr:twoCellAnchor>
  <xdr:twoCellAnchor>
    <xdr:from>
      <xdr:col>3</xdr:col>
      <xdr:colOff>400050</xdr:colOff>
      <xdr:row>5</xdr:row>
      <xdr:rowOff>9525</xdr:rowOff>
    </xdr:from>
    <xdr:to>
      <xdr:col>15</xdr:col>
      <xdr:colOff>552450</xdr:colOff>
      <xdr:row>19</xdr:row>
      <xdr:rowOff>180976</xdr:rowOff>
    </xdr:to>
    <xdr:graphicFrame macro="">
      <xdr:nvGraphicFramePr>
        <xdr:cNvPr id="14" name="Chart 13">
          <a:extLst>
            <a:ext uri="{FF2B5EF4-FFF2-40B4-BE49-F238E27FC236}">
              <a16:creationId xmlns:a16="http://schemas.microsoft.com/office/drawing/2014/main" id="{40154F9F-2451-4FCE-9369-DCEF41F16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409575</xdr:colOff>
      <xdr:row>20</xdr:row>
      <xdr:rowOff>66675</xdr:rowOff>
    </xdr:from>
    <xdr:to>
      <xdr:col>29</xdr:col>
      <xdr:colOff>361950</xdr:colOff>
      <xdr:row>36</xdr:row>
      <xdr:rowOff>66674</xdr:rowOff>
    </xdr:to>
    <xdr:graphicFrame macro="">
      <xdr:nvGraphicFramePr>
        <xdr:cNvPr id="16" name="Chart 15">
          <a:extLst>
            <a:ext uri="{FF2B5EF4-FFF2-40B4-BE49-F238E27FC236}">
              <a16:creationId xmlns:a16="http://schemas.microsoft.com/office/drawing/2014/main" id="{B1417D6F-FCFA-40F8-A1E9-7031BDCE2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333374</xdr:colOff>
      <xdr:row>0</xdr:row>
      <xdr:rowOff>28575</xdr:rowOff>
    </xdr:from>
    <xdr:to>
      <xdr:col>18</xdr:col>
      <xdr:colOff>381000</xdr:colOff>
      <xdr:row>5</xdr:row>
      <xdr:rowOff>19050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EF6426E1-0D06-E7F4-CCDB-C99AA64685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81374" y="28575"/>
              <a:ext cx="7972426"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0</xdr:row>
      <xdr:rowOff>28576</xdr:rowOff>
    </xdr:from>
    <xdr:to>
      <xdr:col>24</xdr:col>
      <xdr:colOff>28576</xdr:colOff>
      <xdr:row>3</xdr:row>
      <xdr:rowOff>161926</xdr:rowOff>
    </xdr:to>
    <mc:AlternateContent xmlns:mc="http://schemas.openxmlformats.org/markup-compatibility/2006" xmlns:a14="http://schemas.microsoft.com/office/drawing/2010/main">
      <mc:Choice Requires="a14">
        <xdr:graphicFrame macro="">
          <xdr:nvGraphicFramePr>
            <xdr:cNvPr id="10" name="Fuel_Type">
              <a:extLst>
                <a:ext uri="{FF2B5EF4-FFF2-40B4-BE49-F238E27FC236}">
                  <a16:creationId xmlns:a16="http://schemas.microsoft.com/office/drawing/2014/main" id="{DCD03872-34F7-2140-A472-625B9FC19459}"/>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11430000" y="28575"/>
              <a:ext cx="3228976"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47626</xdr:colOff>
      <xdr:row>0</xdr:row>
      <xdr:rowOff>38101</xdr:rowOff>
    </xdr:from>
    <xdr:to>
      <xdr:col>5</xdr:col>
      <xdr:colOff>180976</xdr:colOff>
      <xdr:row>3</xdr:row>
      <xdr:rowOff>180975</xdr:rowOff>
    </xdr:to>
    <xdr:pic>
      <xdr:nvPicPr>
        <xdr:cNvPr id="17" name="Picture 16">
          <a:extLst>
            <a:ext uri="{FF2B5EF4-FFF2-40B4-BE49-F238E27FC236}">
              <a16:creationId xmlns:a16="http://schemas.microsoft.com/office/drawing/2014/main" id="{93BC0FA0-DD60-4A5B-9481-F21E4B5937D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686" r="13287"/>
        <a:stretch>
          <a:fillRect/>
        </a:stretch>
      </xdr:blipFill>
      <xdr:spPr>
        <a:xfrm>
          <a:off x="2486026" y="38101"/>
          <a:ext cx="742950" cy="714374"/>
        </a:xfrm>
        <a:prstGeom prst="rect">
          <a:avLst/>
        </a:prstGeom>
        <a:noFill/>
        <a:ln>
          <a:noFill/>
        </a:ln>
      </xdr:spPr>
    </xdr:pic>
    <xdr:clientData/>
  </xdr:twoCellAnchor>
  <xdr:twoCellAnchor>
    <xdr:from>
      <xdr:col>17</xdr:col>
      <xdr:colOff>171450</xdr:colOff>
      <xdr:row>5</xdr:row>
      <xdr:rowOff>19050</xdr:rowOff>
    </xdr:from>
    <xdr:to>
      <xdr:col>30</xdr:col>
      <xdr:colOff>104774</xdr:colOff>
      <xdr:row>19</xdr:row>
      <xdr:rowOff>171449</xdr:rowOff>
    </xdr:to>
    <xdr:graphicFrame macro="">
      <xdr:nvGraphicFramePr>
        <xdr:cNvPr id="19" name="Chart 18">
          <a:extLst>
            <a:ext uri="{FF2B5EF4-FFF2-40B4-BE49-F238E27FC236}">
              <a16:creationId xmlns:a16="http://schemas.microsoft.com/office/drawing/2014/main" id="{1E2D890E-5644-4677-B4B2-74A84AADB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 mukherjee" refreshedDate="46012.046415393517" createdVersion="8" refreshedVersion="8" minRefreshableVersion="3" recordCount="180" xr:uid="{35F3BAB4-ABF0-4B19-AA5A-E4298FB32A84}">
  <cacheSource type="worksheet">
    <worksheetSource ref="A1:L181" sheet="bmw_car_sales_dataset "/>
  </cacheSource>
  <cacheFields count="13">
    <cacheField name="Models" numFmtId="0">
      <sharedItems count="11">
        <s v="3 Series"/>
        <s v="5 Series"/>
        <s v="7 Series"/>
        <s v="i3"/>
        <s v="i8"/>
        <s v="M3"/>
        <s v="M5"/>
        <s v="X1"/>
        <s v="X3"/>
        <s v="X5"/>
        <s v="X6"/>
      </sharedItems>
    </cacheField>
    <cacheField name="Year" numFmtId="0">
      <sharedItems containsSemiMixedTypes="0" containsString="0" containsNumber="1" containsInteger="1" minValue="2010" maxValue="2024" count="15">
        <n v="2010"/>
        <n v="2011"/>
        <n v="2012"/>
        <n v="2013"/>
        <n v="2014"/>
        <n v="2015"/>
        <n v="2016"/>
        <n v="2017"/>
        <n v="2018"/>
        <n v="2019"/>
        <n v="2020"/>
        <n v="2021"/>
        <n v="2022"/>
        <n v="2023"/>
        <n v="2024"/>
      </sharedItems>
    </cacheField>
    <cacheField name="Month" numFmtId="0">
      <sharedItems count="12">
        <s v="January"/>
        <s v="February"/>
        <s v="March"/>
        <s v="April"/>
        <s v="May"/>
        <s v="June"/>
        <s v="July"/>
        <s v="August"/>
        <s v="September"/>
        <s v="October"/>
        <s v="November"/>
        <s v="December"/>
      </sharedItems>
    </cacheField>
    <cacheField name="Region" numFmtId="0">
      <sharedItems count="3">
        <s v="Asia"/>
        <s v="USA"/>
        <s v="Europe"/>
      </sharedItems>
    </cacheField>
    <cacheField name="Color" numFmtId="0">
      <sharedItems/>
    </cacheField>
    <cacheField name="Fuel_Type" numFmtId="0">
      <sharedItems count="4">
        <s v="Hybrid"/>
        <s v="Petrol"/>
        <s v="Electric"/>
        <s v="Diesel"/>
      </sharedItems>
    </cacheField>
    <cacheField name="Transmission" numFmtId="0">
      <sharedItems count="2">
        <s v="Manual"/>
        <s v="Automatic"/>
      </sharedItems>
    </cacheField>
    <cacheField name="Engine_Size_L" numFmtId="0">
      <sharedItems containsSemiMixedTypes="0" containsString="0" containsNumber="1" minValue="2" maxValue="3" count="3">
        <n v="2.5"/>
        <n v="2"/>
        <n v="3"/>
      </sharedItems>
    </cacheField>
    <cacheField name="Mileage_KM" numFmtId="0">
      <sharedItems containsSemiMixedTypes="0" containsString="0" containsNumber="1" containsInteger="1" minValue="25556" maxValue="119604" count="180">
        <n v="103854"/>
        <n v="105651"/>
        <n v="108883"/>
        <n v="48920"/>
        <n v="94082"/>
        <n v="38578"/>
        <n v="89206"/>
        <n v="58454"/>
        <n v="100893"/>
        <n v="85216"/>
        <n v="97054"/>
        <n v="66289"/>
        <n v="74167"/>
        <n v="31190"/>
        <n v="40581"/>
        <n v="108854"/>
        <n v="53865"/>
        <n v="43321"/>
        <n v="68831"/>
        <n v="56199"/>
        <n v="60125"/>
        <n v="104626"/>
        <n v="50892"/>
        <n v="60500"/>
        <n v="85699"/>
        <n v="66949"/>
        <n v="36201"/>
        <n v="86025"/>
        <n v="98179"/>
        <n v="44516"/>
        <n v="107122"/>
        <n v="46357"/>
        <n v="59516"/>
        <n v="66416"/>
        <n v="49212"/>
        <n v="112289"/>
        <n v="46008"/>
        <n v="34045"/>
        <n v="60091"/>
        <n v="70389"/>
        <n v="103871"/>
        <n v="46048"/>
        <n v="80150"/>
        <n v="26790"/>
        <n v="113643"/>
        <n v="93187"/>
        <n v="89835"/>
        <n v="57073"/>
        <n v="64455"/>
        <n v="92993"/>
        <n v="91981"/>
        <n v="87878"/>
        <n v="57603"/>
        <n v="50158"/>
        <n v="74145"/>
        <n v="102139"/>
        <n v="70632"/>
        <n v="116839"/>
        <n v="106052"/>
        <n v="30261"/>
        <n v="85138"/>
        <n v="80377"/>
        <n v="34322"/>
        <n v="43068"/>
        <n v="72608"/>
        <n v="55590"/>
        <n v="80787"/>
        <n v="78352"/>
        <n v="99442"/>
        <n v="93644"/>
        <n v="65425"/>
        <n v="46035"/>
        <n v="39997"/>
        <n v="38456"/>
        <n v="63327"/>
        <n v="88544"/>
        <n v="90139"/>
        <n v="92354"/>
        <n v="33649"/>
        <n v="61974"/>
        <n v="25996"/>
        <n v="66396"/>
        <n v="50168"/>
        <n v="57380"/>
        <n v="36857"/>
        <n v="72704"/>
        <n v="46100"/>
        <n v="32337"/>
        <n v="60453"/>
        <n v="43224"/>
        <n v="88768"/>
        <n v="103178"/>
        <n v="107198"/>
        <n v="32334"/>
        <n v="55824"/>
        <n v="41754"/>
        <n v="60428"/>
        <n v="101286"/>
        <n v="70208"/>
        <n v="82062"/>
        <n v="40816"/>
        <n v="99484"/>
        <n v="76032"/>
        <n v="37320"/>
        <n v="103286"/>
        <n v="99319"/>
        <n v="75506"/>
        <n v="33443"/>
        <n v="52878"/>
        <n v="89216"/>
        <n v="59093"/>
        <n v="81985"/>
        <n v="41459"/>
        <n v="94702"/>
        <n v="51892"/>
        <n v="77235"/>
        <n v="52766"/>
        <n v="90301"/>
        <n v="92325"/>
        <n v="77131"/>
        <n v="27383"/>
        <n v="47166"/>
        <n v="78523"/>
        <n v="67072"/>
        <n v="78852"/>
        <n v="77615"/>
        <n v="59565"/>
        <n v="119045"/>
        <n v="72020"/>
        <n v="88509"/>
        <n v="100315"/>
        <n v="92811"/>
        <n v="77044"/>
        <n v="119604"/>
        <n v="33151"/>
        <n v="89018"/>
        <n v="31719"/>
        <n v="106463"/>
        <n v="113767"/>
        <n v="25556"/>
        <n v="43742"/>
        <n v="33894"/>
        <n v="112209"/>
        <n v="52441"/>
        <n v="45597"/>
        <n v="48473"/>
        <n v="107323"/>
        <n v="60307"/>
        <n v="41159"/>
        <n v="47946"/>
        <n v="87424"/>
        <n v="114980"/>
        <n v="29204"/>
        <n v="106486"/>
        <n v="116536"/>
        <n v="46499"/>
        <n v="58383"/>
        <n v="29834"/>
        <n v="62761"/>
        <n v="104305"/>
        <n v="60324"/>
        <n v="40352"/>
        <n v="67700"/>
        <n v="64847"/>
        <n v="99561"/>
        <n v="73748"/>
        <n v="106657"/>
        <n v="55700"/>
        <n v="73104"/>
        <n v="114492"/>
        <n v="57733"/>
        <n v="110912"/>
        <n v="31655"/>
        <n v="119567"/>
        <n v="26909"/>
        <n v="31676"/>
        <n v="85185"/>
        <n v="52852"/>
        <n v="77388"/>
        <n v="38719"/>
      </sharedItems>
    </cacheField>
    <cacheField name="Price_USD" numFmtId="0">
      <sharedItems containsSemiMixedTypes="0" containsString="0" containsNumber="1" containsInteger="1" minValue="15000" maxValue="44879"/>
    </cacheField>
    <cacheField name="Units_Sold" numFmtId="0">
      <sharedItems containsSemiMixedTypes="0" containsString="0" containsNumber="1" containsInteger="1" minValue="267" maxValue="4998"/>
    </cacheField>
    <cacheField name="Sales_Classification" numFmtId="0">
      <sharedItems count="3">
        <s v="Medium"/>
        <s v="High"/>
        <s v="Low"/>
      </sharedItems>
    </cacheField>
    <cacheField name="Revenue" numFmtId="0" formula="Units_Sold*Price_USD" databaseField="0"/>
  </cacheFields>
  <extLst>
    <ext xmlns:x14="http://schemas.microsoft.com/office/spreadsheetml/2009/9/main" uri="{725AE2AE-9491-48be-B2B4-4EB974FC3084}">
      <x14:pivotCacheDefinition pivotCacheId="9260639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 mukherjee" refreshedDate="46102.839648958332" createdVersion="8" refreshedVersion="8" minRefreshableVersion="3" recordCount="180" xr:uid="{72B2D70C-EE47-43E1-ABFE-EA0C2B524045}">
  <cacheSource type="worksheet">
    <worksheetSource name="Table1"/>
  </cacheSource>
  <cacheFields count="12">
    <cacheField name="Models" numFmtId="0">
      <sharedItems count="11">
        <s v="3 Series"/>
        <s v="5 Series"/>
        <s v="7 Series"/>
        <s v="i3"/>
        <s v="i8"/>
        <s v="M3"/>
        <s v="M5"/>
        <s v="X1"/>
        <s v="X3"/>
        <s v="X5"/>
        <s v="X6"/>
      </sharedItems>
    </cacheField>
    <cacheField name="Year" numFmtId="0">
      <sharedItems containsSemiMixedTypes="0" containsString="0" containsNumber="1" containsInteger="1" minValue="2010" maxValue="2024"/>
    </cacheField>
    <cacheField name="Month" numFmtId="0">
      <sharedItems/>
    </cacheField>
    <cacheField name="Region" numFmtId="0">
      <sharedItems/>
    </cacheField>
    <cacheField name="Color" numFmtId="0">
      <sharedItems/>
    </cacheField>
    <cacheField name="Fuel_Type" numFmtId="0">
      <sharedItems/>
    </cacheField>
    <cacheField name="Transmission" numFmtId="0">
      <sharedItems/>
    </cacheField>
    <cacheField name="Engine_Size_L" numFmtId="0">
      <sharedItems containsSemiMixedTypes="0" containsString="0" containsNumber="1" minValue="2" maxValue="3"/>
    </cacheField>
    <cacheField name="Mileage_KM" numFmtId="0">
      <sharedItems containsSemiMixedTypes="0" containsString="0" containsNumber="1" containsInteger="1" minValue="25556" maxValue="119604"/>
    </cacheField>
    <cacheField name="Price_USD" numFmtId="0">
      <sharedItems containsSemiMixedTypes="0" containsString="0" containsNumber="1" containsInteger="1" minValue="15000" maxValue="44879"/>
    </cacheField>
    <cacheField name="Units_Sold" numFmtId="0">
      <sharedItems containsSemiMixedTypes="0" containsString="0" containsNumber="1" containsInteger="1" minValue="267" maxValue="4998"/>
    </cacheField>
    <cacheField name="Sales_Classifica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x v="0"/>
    <s v="Red"/>
    <x v="0"/>
    <x v="0"/>
    <x v="0"/>
    <x v="0"/>
    <n v="44165"/>
    <n v="4490"/>
    <x v="0"/>
  </r>
  <r>
    <x v="1"/>
    <x v="0"/>
    <x v="1"/>
    <x v="1"/>
    <s v="White"/>
    <x v="1"/>
    <x v="1"/>
    <x v="0"/>
    <x v="1"/>
    <n v="24363"/>
    <n v="4615"/>
    <x v="1"/>
  </r>
  <r>
    <x v="2"/>
    <x v="0"/>
    <x v="2"/>
    <x v="1"/>
    <s v="Silver"/>
    <x v="2"/>
    <x v="0"/>
    <x v="1"/>
    <x v="2"/>
    <n v="34153"/>
    <n v="1744"/>
    <x v="1"/>
  </r>
  <r>
    <x v="3"/>
    <x v="0"/>
    <x v="3"/>
    <x v="0"/>
    <s v="Silver"/>
    <x v="2"/>
    <x v="1"/>
    <x v="1"/>
    <x v="3"/>
    <n v="36190"/>
    <n v="441"/>
    <x v="1"/>
  </r>
  <r>
    <x v="4"/>
    <x v="0"/>
    <x v="4"/>
    <x v="2"/>
    <s v="Red"/>
    <x v="2"/>
    <x v="1"/>
    <x v="1"/>
    <x v="4"/>
    <n v="38771"/>
    <n v="3102"/>
    <x v="1"/>
  </r>
  <r>
    <x v="5"/>
    <x v="0"/>
    <x v="5"/>
    <x v="0"/>
    <s v="Grey"/>
    <x v="1"/>
    <x v="0"/>
    <x v="0"/>
    <x v="5"/>
    <n v="20906"/>
    <n v="3638"/>
    <x v="1"/>
  </r>
  <r>
    <x v="6"/>
    <x v="0"/>
    <x v="6"/>
    <x v="0"/>
    <s v="Red"/>
    <x v="0"/>
    <x v="1"/>
    <x v="2"/>
    <x v="6"/>
    <n v="32165"/>
    <n v="2294"/>
    <x v="2"/>
  </r>
  <r>
    <x v="7"/>
    <x v="0"/>
    <x v="7"/>
    <x v="1"/>
    <s v="Blue"/>
    <x v="0"/>
    <x v="1"/>
    <x v="0"/>
    <x v="7"/>
    <n v="40333"/>
    <n v="2634"/>
    <x v="1"/>
  </r>
  <r>
    <x v="8"/>
    <x v="0"/>
    <x v="8"/>
    <x v="1"/>
    <s v="Grey"/>
    <x v="2"/>
    <x v="1"/>
    <x v="1"/>
    <x v="8"/>
    <n v="19521"/>
    <n v="3948"/>
    <x v="0"/>
  </r>
  <r>
    <x v="9"/>
    <x v="0"/>
    <x v="9"/>
    <x v="0"/>
    <s v="Red"/>
    <x v="1"/>
    <x v="1"/>
    <x v="2"/>
    <x v="9"/>
    <n v="29005"/>
    <n v="3313"/>
    <x v="0"/>
  </r>
  <r>
    <x v="10"/>
    <x v="0"/>
    <x v="10"/>
    <x v="2"/>
    <s v="Grey"/>
    <x v="2"/>
    <x v="0"/>
    <x v="0"/>
    <x v="10"/>
    <n v="36175"/>
    <n v="2892"/>
    <x v="1"/>
  </r>
  <r>
    <x v="0"/>
    <x v="0"/>
    <x v="11"/>
    <x v="0"/>
    <s v="Red"/>
    <x v="3"/>
    <x v="1"/>
    <x v="2"/>
    <x v="11"/>
    <n v="20971"/>
    <n v="3877"/>
    <x v="1"/>
  </r>
  <r>
    <x v="1"/>
    <x v="1"/>
    <x v="0"/>
    <x v="2"/>
    <s v="Black"/>
    <x v="3"/>
    <x v="1"/>
    <x v="0"/>
    <x v="12"/>
    <n v="26374"/>
    <n v="4409"/>
    <x v="0"/>
  </r>
  <r>
    <x v="2"/>
    <x v="1"/>
    <x v="1"/>
    <x v="1"/>
    <s v="Silver"/>
    <x v="2"/>
    <x v="0"/>
    <x v="2"/>
    <x v="13"/>
    <n v="24577"/>
    <n v="4411"/>
    <x v="1"/>
  </r>
  <r>
    <x v="3"/>
    <x v="1"/>
    <x v="2"/>
    <x v="2"/>
    <s v="Silver"/>
    <x v="3"/>
    <x v="1"/>
    <x v="1"/>
    <x v="14"/>
    <n v="15861"/>
    <n v="4659"/>
    <x v="2"/>
  </r>
  <r>
    <x v="4"/>
    <x v="1"/>
    <x v="3"/>
    <x v="2"/>
    <s v="Silver"/>
    <x v="3"/>
    <x v="0"/>
    <x v="2"/>
    <x v="15"/>
    <n v="24549"/>
    <n v="2063"/>
    <x v="1"/>
  </r>
  <r>
    <x v="5"/>
    <x v="1"/>
    <x v="4"/>
    <x v="1"/>
    <s v="Grey"/>
    <x v="3"/>
    <x v="1"/>
    <x v="1"/>
    <x v="16"/>
    <n v="24409"/>
    <n v="2947"/>
    <x v="1"/>
  </r>
  <r>
    <x v="6"/>
    <x v="1"/>
    <x v="5"/>
    <x v="2"/>
    <s v="Silver"/>
    <x v="2"/>
    <x v="0"/>
    <x v="0"/>
    <x v="17"/>
    <n v="36103"/>
    <n v="2432"/>
    <x v="0"/>
  </r>
  <r>
    <x v="7"/>
    <x v="1"/>
    <x v="6"/>
    <x v="0"/>
    <s v="Blue"/>
    <x v="2"/>
    <x v="1"/>
    <x v="0"/>
    <x v="18"/>
    <n v="24321"/>
    <n v="2358"/>
    <x v="1"/>
  </r>
  <r>
    <x v="8"/>
    <x v="1"/>
    <x v="7"/>
    <x v="0"/>
    <s v="Silver"/>
    <x v="3"/>
    <x v="0"/>
    <x v="0"/>
    <x v="19"/>
    <n v="34032"/>
    <n v="4545"/>
    <x v="0"/>
  </r>
  <r>
    <x v="9"/>
    <x v="1"/>
    <x v="8"/>
    <x v="0"/>
    <s v="Blue"/>
    <x v="1"/>
    <x v="0"/>
    <x v="2"/>
    <x v="20"/>
    <n v="33854"/>
    <n v="531"/>
    <x v="2"/>
  </r>
  <r>
    <x v="10"/>
    <x v="1"/>
    <x v="9"/>
    <x v="2"/>
    <s v="White"/>
    <x v="2"/>
    <x v="0"/>
    <x v="2"/>
    <x v="21"/>
    <n v="24395"/>
    <n v="577"/>
    <x v="2"/>
  </r>
  <r>
    <x v="0"/>
    <x v="1"/>
    <x v="10"/>
    <x v="1"/>
    <s v="Black"/>
    <x v="2"/>
    <x v="1"/>
    <x v="1"/>
    <x v="22"/>
    <n v="24984"/>
    <n v="2993"/>
    <x v="2"/>
  </r>
  <r>
    <x v="1"/>
    <x v="1"/>
    <x v="11"/>
    <x v="0"/>
    <s v="Silver"/>
    <x v="1"/>
    <x v="1"/>
    <x v="0"/>
    <x v="23"/>
    <n v="27268"/>
    <n v="4635"/>
    <x v="1"/>
  </r>
  <r>
    <x v="2"/>
    <x v="2"/>
    <x v="0"/>
    <x v="0"/>
    <s v="Blue"/>
    <x v="2"/>
    <x v="0"/>
    <x v="0"/>
    <x v="24"/>
    <n v="34723"/>
    <n v="754"/>
    <x v="0"/>
  </r>
  <r>
    <x v="3"/>
    <x v="2"/>
    <x v="1"/>
    <x v="2"/>
    <s v="Grey"/>
    <x v="1"/>
    <x v="1"/>
    <x v="0"/>
    <x v="25"/>
    <n v="37239"/>
    <n v="655"/>
    <x v="2"/>
  </r>
  <r>
    <x v="4"/>
    <x v="2"/>
    <x v="2"/>
    <x v="2"/>
    <s v="Grey"/>
    <x v="2"/>
    <x v="1"/>
    <x v="1"/>
    <x v="26"/>
    <n v="21512"/>
    <n v="1265"/>
    <x v="2"/>
  </r>
  <r>
    <x v="5"/>
    <x v="2"/>
    <x v="3"/>
    <x v="1"/>
    <s v="Grey"/>
    <x v="3"/>
    <x v="0"/>
    <x v="1"/>
    <x v="27"/>
    <n v="37596"/>
    <n v="471"/>
    <x v="2"/>
  </r>
  <r>
    <x v="6"/>
    <x v="2"/>
    <x v="4"/>
    <x v="0"/>
    <s v="Blue"/>
    <x v="2"/>
    <x v="0"/>
    <x v="2"/>
    <x v="28"/>
    <n v="16300"/>
    <n v="2007"/>
    <x v="2"/>
  </r>
  <r>
    <x v="7"/>
    <x v="2"/>
    <x v="5"/>
    <x v="0"/>
    <s v="Red"/>
    <x v="2"/>
    <x v="0"/>
    <x v="1"/>
    <x v="29"/>
    <n v="44386"/>
    <n v="3899"/>
    <x v="0"/>
  </r>
  <r>
    <x v="8"/>
    <x v="2"/>
    <x v="6"/>
    <x v="0"/>
    <s v="Grey"/>
    <x v="0"/>
    <x v="1"/>
    <x v="2"/>
    <x v="30"/>
    <n v="15939"/>
    <n v="4883"/>
    <x v="0"/>
  </r>
  <r>
    <x v="9"/>
    <x v="2"/>
    <x v="7"/>
    <x v="1"/>
    <s v="Silver"/>
    <x v="3"/>
    <x v="1"/>
    <x v="0"/>
    <x v="31"/>
    <n v="36567"/>
    <n v="2997"/>
    <x v="2"/>
  </r>
  <r>
    <x v="10"/>
    <x v="2"/>
    <x v="8"/>
    <x v="0"/>
    <s v="Grey"/>
    <x v="0"/>
    <x v="0"/>
    <x v="0"/>
    <x v="32"/>
    <n v="26640"/>
    <n v="267"/>
    <x v="2"/>
  </r>
  <r>
    <x v="0"/>
    <x v="2"/>
    <x v="9"/>
    <x v="1"/>
    <s v="Blue"/>
    <x v="0"/>
    <x v="1"/>
    <x v="1"/>
    <x v="33"/>
    <n v="29041"/>
    <n v="4047"/>
    <x v="2"/>
  </r>
  <r>
    <x v="1"/>
    <x v="2"/>
    <x v="10"/>
    <x v="2"/>
    <s v="Grey"/>
    <x v="2"/>
    <x v="1"/>
    <x v="1"/>
    <x v="34"/>
    <n v="37756"/>
    <n v="2461"/>
    <x v="2"/>
  </r>
  <r>
    <x v="2"/>
    <x v="2"/>
    <x v="11"/>
    <x v="1"/>
    <s v="Blue"/>
    <x v="1"/>
    <x v="0"/>
    <x v="0"/>
    <x v="35"/>
    <n v="20892"/>
    <n v="4478"/>
    <x v="0"/>
  </r>
  <r>
    <x v="3"/>
    <x v="3"/>
    <x v="0"/>
    <x v="0"/>
    <s v="Black"/>
    <x v="2"/>
    <x v="0"/>
    <x v="0"/>
    <x v="36"/>
    <n v="27520"/>
    <n v="1940"/>
    <x v="1"/>
  </r>
  <r>
    <x v="4"/>
    <x v="3"/>
    <x v="1"/>
    <x v="1"/>
    <s v="Blue"/>
    <x v="1"/>
    <x v="1"/>
    <x v="0"/>
    <x v="37"/>
    <n v="44153"/>
    <n v="1329"/>
    <x v="2"/>
  </r>
  <r>
    <x v="5"/>
    <x v="3"/>
    <x v="2"/>
    <x v="2"/>
    <s v="Silver"/>
    <x v="0"/>
    <x v="0"/>
    <x v="0"/>
    <x v="38"/>
    <n v="39999"/>
    <n v="2654"/>
    <x v="0"/>
  </r>
  <r>
    <x v="6"/>
    <x v="3"/>
    <x v="3"/>
    <x v="1"/>
    <s v="Red"/>
    <x v="1"/>
    <x v="0"/>
    <x v="1"/>
    <x v="39"/>
    <n v="43073"/>
    <n v="599"/>
    <x v="0"/>
  </r>
  <r>
    <x v="7"/>
    <x v="3"/>
    <x v="4"/>
    <x v="0"/>
    <s v="Black"/>
    <x v="3"/>
    <x v="0"/>
    <x v="1"/>
    <x v="40"/>
    <n v="26171"/>
    <n v="2923"/>
    <x v="2"/>
  </r>
  <r>
    <x v="8"/>
    <x v="3"/>
    <x v="5"/>
    <x v="0"/>
    <s v="White"/>
    <x v="1"/>
    <x v="0"/>
    <x v="2"/>
    <x v="41"/>
    <n v="40488"/>
    <n v="2198"/>
    <x v="2"/>
  </r>
  <r>
    <x v="9"/>
    <x v="3"/>
    <x v="6"/>
    <x v="1"/>
    <s v="Silver"/>
    <x v="0"/>
    <x v="1"/>
    <x v="0"/>
    <x v="42"/>
    <n v="22415"/>
    <n v="294"/>
    <x v="1"/>
  </r>
  <r>
    <x v="10"/>
    <x v="3"/>
    <x v="7"/>
    <x v="0"/>
    <s v="Red"/>
    <x v="2"/>
    <x v="0"/>
    <x v="1"/>
    <x v="43"/>
    <n v="25317"/>
    <n v="3587"/>
    <x v="1"/>
  </r>
  <r>
    <x v="0"/>
    <x v="3"/>
    <x v="8"/>
    <x v="1"/>
    <s v="Blue"/>
    <x v="1"/>
    <x v="0"/>
    <x v="1"/>
    <x v="44"/>
    <n v="21113"/>
    <n v="4909"/>
    <x v="0"/>
  </r>
  <r>
    <x v="1"/>
    <x v="3"/>
    <x v="9"/>
    <x v="0"/>
    <s v="Red"/>
    <x v="3"/>
    <x v="0"/>
    <x v="0"/>
    <x v="45"/>
    <n v="44175"/>
    <n v="3858"/>
    <x v="0"/>
  </r>
  <r>
    <x v="2"/>
    <x v="3"/>
    <x v="10"/>
    <x v="0"/>
    <s v="Blue"/>
    <x v="2"/>
    <x v="0"/>
    <x v="1"/>
    <x v="46"/>
    <n v="36281"/>
    <n v="3980"/>
    <x v="0"/>
  </r>
  <r>
    <x v="3"/>
    <x v="3"/>
    <x v="11"/>
    <x v="0"/>
    <s v="White"/>
    <x v="0"/>
    <x v="0"/>
    <x v="2"/>
    <x v="47"/>
    <n v="24166"/>
    <n v="1616"/>
    <x v="2"/>
  </r>
  <r>
    <x v="4"/>
    <x v="4"/>
    <x v="0"/>
    <x v="2"/>
    <s v="Black"/>
    <x v="0"/>
    <x v="1"/>
    <x v="2"/>
    <x v="48"/>
    <n v="29083"/>
    <n v="2773"/>
    <x v="1"/>
  </r>
  <r>
    <x v="5"/>
    <x v="4"/>
    <x v="1"/>
    <x v="2"/>
    <s v="Blue"/>
    <x v="1"/>
    <x v="0"/>
    <x v="0"/>
    <x v="49"/>
    <n v="33549"/>
    <n v="1611"/>
    <x v="2"/>
  </r>
  <r>
    <x v="6"/>
    <x v="4"/>
    <x v="2"/>
    <x v="2"/>
    <s v="Black"/>
    <x v="0"/>
    <x v="1"/>
    <x v="0"/>
    <x v="50"/>
    <n v="38958"/>
    <n v="4629"/>
    <x v="1"/>
  </r>
  <r>
    <x v="7"/>
    <x v="4"/>
    <x v="3"/>
    <x v="2"/>
    <s v="Red"/>
    <x v="3"/>
    <x v="1"/>
    <x v="1"/>
    <x v="51"/>
    <n v="43691"/>
    <n v="2717"/>
    <x v="0"/>
  </r>
  <r>
    <x v="8"/>
    <x v="4"/>
    <x v="4"/>
    <x v="1"/>
    <s v="Silver"/>
    <x v="2"/>
    <x v="1"/>
    <x v="2"/>
    <x v="52"/>
    <n v="44382"/>
    <n v="2529"/>
    <x v="1"/>
  </r>
  <r>
    <x v="9"/>
    <x v="4"/>
    <x v="5"/>
    <x v="0"/>
    <s v="Grey"/>
    <x v="0"/>
    <x v="0"/>
    <x v="0"/>
    <x v="53"/>
    <n v="23839"/>
    <n v="4474"/>
    <x v="1"/>
  </r>
  <r>
    <x v="10"/>
    <x v="4"/>
    <x v="6"/>
    <x v="0"/>
    <s v="Grey"/>
    <x v="0"/>
    <x v="1"/>
    <x v="1"/>
    <x v="54"/>
    <n v="32981"/>
    <n v="2014"/>
    <x v="0"/>
  </r>
  <r>
    <x v="0"/>
    <x v="4"/>
    <x v="7"/>
    <x v="1"/>
    <s v="Blue"/>
    <x v="1"/>
    <x v="1"/>
    <x v="0"/>
    <x v="55"/>
    <n v="42187"/>
    <n v="2334"/>
    <x v="0"/>
  </r>
  <r>
    <x v="1"/>
    <x v="4"/>
    <x v="8"/>
    <x v="0"/>
    <s v="White"/>
    <x v="0"/>
    <x v="1"/>
    <x v="0"/>
    <x v="56"/>
    <n v="31167"/>
    <n v="1801"/>
    <x v="1"/>
  </r>
  <r>
    <x v="2"/>
    <x v="4"/>
    <x v="9"/>
    <x v="2"/>
    <s v="White"/>
    <x v="1"/>
    <x v="0"/>
    <x v="1"/>
    <x v="57"/>
    <n v="36259"/>
    <n v="4562"/>
    <x v="1"/>
  </r>
  <r>
    <x v="3"/>
    <x v="4"/>
    <x v="10"/>
    <x v="2"/>
    <s v="Grey"/>
    <x v="3"/>
    <x v="0"/>
    <x v="2"/>
    <x v="58"/>
    <n v="30531"/>
    <n v="4964"/>
    <x v="2"/>
  </r>
  <r>
    <x v="4"/>
    <x v="4"/>
    <x v="11"/>
    <x v="1"/>
    <s v="Blue"/>
    <x v="2"/>
    <x v="0"/>
    <x v="1"/>
    <x v="59"/>
    <n v="34751"/>
    <n v="3236"/>
    <x v="0"/>
  </r>
  <r>
    <x v="5"/>
    <x v="5"/>
    <x v="0"/>
    <x v="2"/>
    <s v="Black"/>
    <x v="1"/>
    <x v="0"/>
    <x v="0"/>
    <x v="60"/>
    <n v="35343"/>
    <n v="4495"/>
    <x v="1"/>
  </r>
  <r>
    <x v="6"/>
    <x v="5"/>
    <x v="1"/>
    <x v="2"/>
    <s v="Grey"/>
    <x v="1"/>
    <x v="0"/>
    <x v="2"/>
    <x v="61"/>
    <n v="34765"/>
    <n v="1680"/>
    <x v="0"/>
  </r>
  <r>
    <x v="7"/>
    <x v="5"/>
    <x v="2"/>
    <x v="1"/>
    <s v="Blue"/>
    <x v="1"/>
    <x v="1"/>
    <x v="0"/>
    <x v="62"/>
    <n v="16142"/>
    <n v="1008"/>
    <x v="0"/>
  </r>
  <r>
    <x v="8"/>
    <x v="5"/>
    <x v="3"/>
    <x v="0"/>
    <s v="Silver"/>
    <x v="0"/>
    <x v="1"/>
    <x v="0"/>
    <x v="63"/>
    <n v="33454"/>
    <n v="323"/>
    <x v="1"/>
  </r>
  <r>
    <x v="9"/>
    <x v="5"/>
    <x v="4"/>
    <x v="2"/>
    <s v="Silver"/>
    <x v="3"/>
    <x v="1"/>
    <x v="2"/>
    <x v="64"/>
    <n v="42753"/>
    <n v="1331"/>
    <x v="1"/>
  </r>
  <r>
    <x v="10"/>
    <x v="5"/>
    <x v="5"/>
    <x v="2"/>
    <s v="Red"/>
    <x v="0"/>
    <x v="1"/>
    <x v="1"/>
    <x v="65"/>
    <n v="35429"/>
    <n v="1264"/>
    <x v="2"/>
  </r>
  <r>
    <x v="0"/>
    <x v="5"/>
    <x v="6"/>
    <x v="1"/>
    <s v="Grey"/>
    <x v="3"/>
    <x v="1"/>
    <x v="1"/>
    <x v="66"/>
    <n v="24499"/>
    <n v="2894"/>
    <x v="0"/>
  </r>
  <r>
    <x v="1"/>
    <x v="5"/>
    <x v="7"/>
    <x v="0"/>
    <s v="Red"/>
    <x v="1"/>
    <x v="0"/>
    <x v="0"/>
    <x v="67"/>
    <n v="37036"/>
    <n v="2092"/>
    <x v="2"/>
  </r>
  <r>
    <x v="2"/>
    <x v="5"/>
    <x v="8"/>
    <x v="1"/>
    <s v="Blue"/>
    <x v="3"/>
    <x v="1"/>
    <x v="0"/>
    <x v="68"/>
    <n v="27226"/>
    <n v="3989"/>
    <x v="1"/>
  </r>
  <r>
    <x v="3"/>
    <x v="5"/>
    <x v="9"/>
    <x v="1"/>
    <s v="Grey"/>
    <x v="3"/>
    <x v="1"/>
    <x v="1"/>
    <x v="69"/>
    <n v="15332"/>
    <n v="3233"/>
    <x v="2"/>
  </r>
  <r>
    <x v="4"/>
    <x v="5"/>
    <x v="10"/>
    <x v="1"/>
    <s v="White"/>
    <x v="2"/>
    <x v="0"/>
    <x v="2"/>
    <x v="70"/>
    <n v="37734"/>
    <n v="4025"/>
    <x v="1"/>
  </r>
  <r>
    <x v="5"/>
    <x v="5"/>
    <x v="11"/>
    <x v="2"/>
    <s v="Blue"/>
    <x v="0"/>
    <x v="0"/>
    <x v="1"/>
    <x v="71"/>
    <n v="26576"/>
    <n v="3098"/>
    <x v="1"/>
  </r>
  <r>
    <x v="6"/>
    <x v="6"/>
    <x v="0"/>
    <x v="1"/>
    <s v="Silver"/>
    <x v="1"/>
    <x v="0"/>
    <x v="0"/>
    <x v="72"/>
    <n v="23851"/>
    <n v="2797"/>
    <x v="0"/>
  </r>
  <r>
    <x v="7"/>
    <x v="6"/>
    <x v="1"/>
    <x v="0"/>
    <s v="Silver"/>
    <x v="1"/>
    <x v="0"/>
    <x v="1"/>
    <x v="73"/>
    <n v="38704"/>
    <n v="1083"/>
    <x v="0"/>
  </r>
  <r>
    <x v="8"/>
    <x v="6"/>
    <x v="2"/>
    <x v="0"/>
    <s v="Black"/>
    <x v="0"/>
    <x v="0"/>
    <x v="1"/>
    <x v="74"/>
    <n v="30642"/>
    <n v="567"/>
    <x v="0"/>
  </r>
  <r>
    <x v="9"/>
    <x v="6"/>
    <x v="3"/>
    <x v="0"/>
    <s v="Blue"/>
    <x v="0"/>
    <x v="0"/>
    <x v="0"/>
    <x v="75"/>
    <n v="43556"/>
    <n v="2321"/>
    <x v="0"/>
  </r>
  <r>
    <x v="10"/>
    <x v="6"/>
    <x v="4"/>
    <x v="2"/>
    <s v="Silver"/>
    <x v="3"/>
    <x v="0"/>
    <x v="0"/>
    <x v="76"/>
    <n v="40935"/>
    <n v="4390"/>
    <x v="1"/>
  </r>
  <r>
    <x v="0"/>
    <x v="6"/>
    <x v="5"/>
    <x v="0"/>
    <s v="Grey"/>
    <x v="3"/>
    <x v="1"/>
    <x v="0"/>
    <x v="77"/>
    <n v="20248"/>
    <n v="4998"/>
    <x v="0"/>
  </r>
  <r>
    <x v="1"/>
    <x v="6"/>
    <x v="6"/>
    <x v="0"/>
    <s v="Blue"/>
    <x v="2"/>
    <x v="0"/>
    <x v="0"/>
    <x v="78"/>
    <n v="35968"/>
    <n v="377"/>
    <x v="1"/>
  </r>
  <r>
    <x v="2"/>
    <x v="6"/>
    <x v="7"/>
    <x v="0"/>
    <s v="Red"/>
    <x v="1"/>
    <x v="1"/>
    <x v="1"/>
    <x v="79"/>
    <n v="41330"/>
    <n v="959"/>
    <x v="1"/>
  </r>
  <r>
    <x v="3"/>
    <x v="6"/>
    <x v="8"/>
    <x v="2"/>
    <s v="Black"/>
    <x v="3"/>
    <x v="0"/>
    <x v="2"/>
    <x v="80"/>
    <n v="18137"/>
    <n v="3772"/>
    <x v="2"/>
  </r>
  <r>
    <x v="4"/>
    <x v="6"/>
    <x v="9"/>
    <x v="2"/>
    <s v="White"/>
    <x v="0"/>
    <x v="0"/>
    <x v="1"/>
    <x v="81"/>
    <n v="28036"/>
    <n v="3845"/>
    <x v="0"/>
  </r>
  <r>
    <x v="5"/>
    <x v="6"/>
    <x v="10"/>
    <x v="0"/>
    <s v="White"/>
    <x v="0"/>
    <x v="1"/>
    <x v="2"/>
    <x v="82"/>
    <n v="25218"/>
    <n v="4856"/>
    <x v="1"/>
  </r>
  <r>
    <x v="6"/>
    <x v="6"/>
    <x v="11"/>
    <x v="2"/>
    <s v="Silver"/>
    <x v="2"/>
    <x v="1"/>
    <x v="1"/>
    <x v="83"/>
    <n v="20829"/>
    <n v="661"/>
    <x v="0"/>
  </r>
  <r>
    <x v="7"/>
    <x v="7"/>
    <x v="0"/>
    <x v="1"/>
    <s v="White"/>
    <x v="0"/>
    <x v="1"/>
    <x v="2"/>
    <x v="84"/>
    <n v="27305"/>
    <n v="3046"/>
    <x v="2"/>
  </r>
  <r>
    <x v="8"/>
    <x v="7"/>
    <x v="1"/>
    <x v="1"/>
    <s v="White"/>
    <x v="1"/>
    <x v="0"/>
    <x v="2"/>
    <x v="85"/>
    <n v="39473"/>
    <n v="3410"/>
    <x v="0"/>
  </r>
  <r>
    <x v="9"/>
    <x v="7"/>
    <x v="2"/>
    <x v="1"/>
    <s v="Blue"/>
    <x v="1"/>
    <x v="0"/>
    <x v="1"/>
    <x v="86"/>
    <n v="28583"/>
    <n v="4553"/>
    <x v="2"/>
  </r>
  <r>
    <x v="10"/>
    <x v="7"/>
    <x v="3"/>
    <x v="2"/>
    <s v="Grey"/>
    <x v="3"/>
    <x v="1"/>
    <x v="2"/>
    <x v="87"/>
    <n v="19233"/>
    <n v="1502"/>
    <x v="2"/>
  </r>
  <r>
    <x v="0"/>
    <x v="7"/>
    <x v="4"/>
    <x v="2"/>
    <s v="Red"/>
    <x v="3"/>
    <x v="1"/>
    <x v="2"/>
    <x v="88"/>
    <n v="28651"/>
    <n v="498"/>
    <x v="2"/>
  </r>
  <r>
    <x v="1"/>
    <x v="7"/>
    <x v="5"/>
    <x v="2"/>
    <s v="Silver"/>
    <x v="3"/>
    <x v="0"/>
    <x v="2"/>
    <x v="89"/>
    <n v="28004"/>
    <n v="1301"/>
    <x v="2"/>
  </r>
  <r>
    <x v="2"/>
    <x v="7"/>
    <x v="6"/>
    <x v="0"/>
    <s v="Blue"/>
    <x v="0"/>
    <x v="1"/>
    <x v="2"/>
    <x v="90"/>
    <n v="26375"/>
    <n v="4329"/>
    <x v="2"/>
  </r>
  <r>
    <x v="3"/>
    <x v="7"/>
    <x v="7"/>
    <x v="2"/>
    <s v="Black"/>
    <x v="1"/>
    <x v="0"/>
    <x v="0"/>
    <x v="91"/>
    <n v="43058"/>
    <n v="984"/>
    <x v="2"/>
  </r>
  <r>
    <x v="4"/>
    <x v="7"/>
    <x v="8"/>
    <x v="1"/>
    <s v="Grey"/>
    <x v="0"/>
    <x v="1"/>
    <x v="1"/>
    <x v="92"/>
    <n v="42523"/>
    <n v="3089"/>
    <x v="2"/>
  </r>
  <r>
    <x v="5"/>
    <x v="7"/>
    <x v="9"/>
    <x v="2"/>
    <s v="White"/>
    <x v="3"/>
    <x v="0"/>
    <x v="0"/>
    <x v="93"/>
    <n v="15790"/>
    <n v="284"/>
    <x v="2"/>
  </r>
  <r>
    <x v="6"/>
    <x v="7"/>
    <x v="10"/>
    <x v="2"/>
    <s v="Red"/>
    <x v="1"/>
    <x v="0"/>
    <x v="2"/>
    <x v="94"/>
    <n v="35992"/>
    <n v="2782"/>
    <x v="2"/>
  </r>
  <r>
    <x v="7"/>
    <x v="7"/>
    <x v="11"/>
    <x v="0"/>
    <s v="Black"/>
    <x v="0"/>
    <x v="1"/>
    <x v="1"/>
    <x v="95"/>
    <n v="36937"/>
    <n v="1648"/>
    <x v="2"/>
  </r>
  <r>
    <x v="8"/>
    <x v="8"/>
    <x v="0"/>
    <x v="1"/>
    <s v="Black"/>
    <x v="3"/>
    <x v="1"/>
    <x v="0"/>
    <x v="96"/>
    <n v="24440"/>
    <n v="1782"/>
    <x v="1"/>
  </r>
  <r>
    <x v="9"/>
    <x v="8"/>
    <x v="1"/>
    <x v="0"/>
    <s v="Silver"/>
    <x v="0"/>
    <x v="0"/>
    <x v="2"/>
    <x v="97"/>
    <n v="16292"/>
    <n v="434"/>
    <x v="0"/>
  </r>
  <r>
    <x v="10"/>
    <x v="8"/>
    <x v="2"/>
    <x v="0"/>
    <s v="Black"/>
    <x v="3"/>
    <x v="0"/>
    <x v="2"/>
    <x v="98"/>
    <n v="27275"/>
    <n v="2151"/>
    <x v="0"/>
  </r>
  <r>
    <x v="0"/>
    <x v="8"/>
    <x v="3"/>
    <x v="2"/>
    <s v="Black"/>
    <x v="0"/>
    <x v="1"/>
    <x v="1"/>
    <x v="99"/>
    <n v="36274"/>
    <n v="3876"/>
    <x v="1"/>
  </r>
  <r>
    <x v="1"/>
    <x v="8"/>
    <x v="4"/>
    <x v="0"/>
    <s v="Red"/>
    <x v="0"/>
    <x v="0"/>
    <x v="0"/>
    <x v="100"/>
    <n v="34594"/>
    <n v="2633"/>
    <x v="1"/>
  </r>
  <r>
    <x v="2"/>
    <x v="8"/>
    <x v="5"/>
    <x v="1"/>
    <s v="White"/>
    <x v="3"/>
    <x v="0"/>
    <x v="0"/>
    <x v="101"/>
    <n v="29035"/>
    <n v="2084"/>
    <x v="2"/>
  </r>
  <r>
    <x v="3"/>
    <x v="8"/>
    <x v="6"/>
    <x v="1"/>
    <s v="White"/>
    <x v="0"/>
    <x v="0"/>
    <x v="0"/>
    <x v="102"/>
    <n v="41873"/>
    <n v="3089"/>
    <x v="1"/>
  </r>
  <r>
    <x v="4"/>
    <x v="8"/>
    <x v="7"/>
    <x v="2"/>
    <s v="Red"/>
    <x v="0"/>
    <x v="0"/>
    <x v="1"/>
    <x v="103"/>
    <n v="18309"/>
    <n v="2809"/>
    <x v="2"/>
  </r>
  <r>
    <x v="5"/>
    <x v="8"/>
    <x v="8"/>
    <x v="1"/>
    <s v="White"/>
    <x v="3"/>
    <x v="0"/>
    <x v="1"/>
    <x v="104"/>
    <n v="39203"/>
    <n v="4771"/>
    <x v="0"/>
  </r>
  <r>
    <x v="6"/>
    <x v="8"/>
    <x v="9"/>
    <x v="2"/>
    <s v="Blue"/>
    <x v="3"/>
    <x v="0"/>
    <x v="0"/>
    <x v="105"/>
    <n v="15844"/>
    <n v="746"/>
    <x v="2"/>
  </r>
  <r>
    <x v="7"/>
    <x v="8"/>
    <x v="10"/>
    <x v="2"/>
    <s v="Silver"/>
    <x v="3"/>
    <x v="1"/>
    <x v="2"/>
    <x v="106"/>
    <n v="35720"/>
    <n v="1894"/>
    <x v="0"/>
  </r>
  <r>
    <x v="8"/>
    <x v="8"/>
    <x v="11"/>
    <x v="1"/>
    <s v="Black"/>
    <x v="3"/>
    <x v="1"/>
    <x v="1"/>
    <x v="107"/>
    <n v="25045"/>
    <n v="2207"/>
    <x v="2"/>
  </r>
  <r>
    <x v="9"/>
    <x v="9"/>
    <x v="0"/>
    <x v="2"/>
    <s v="Grey"/>
    <x v="3"/>
    <x v="0"/>
    <x v="1"/>
    <x v="108"/>
    <n v="40499"/>
    <n v="4853"/>
    <x v="0"/>
  </r>
  <r>
    <x v="10"/>
    <x v="9"/>
    <x v="1"/>
    <x v="1"/>
    <s v="Blue"/>
    <x v="0"/>
    <x v="1"/>
    <x v="2"/>
    <x v="109"/>
    <n v="27146"/>
    <n v="4716"/>
    <x v="0"/>
  </r>
  <r>
    <x v="0"/>
    <x v="9"/>
    <x v="2"/>
    <x v="1"/>
    <s v="Silver"/>
    <x v="0"/>
    <x v="1"/>
    <x v="1"/>
    <x v="110"/>
    <n v="30342"/>
    <n v="4977"/>
    <x v="0"/>
  </r>
  <r>
    <x v="1"/>
    <x v="9"/>
    <x v="3"/>
    <x v="1"/>
    <s v="Black"/>
    <x v="2"/>
    <x v="0"/>
    <x v="0"/>
    <x v="111"/>
    <n v="36005"/>
    <n v="4555"/>
    <x v="1"/>
  </r>
  <r>
    <x v="2"/>
    <x v="9"/>
    <x v="4"/>
    <x v="0"/>
    <s v="Grey"/>
    <x v="3"/>
    <x v="1"/>
    <x v="1"/>
    <x v="112"/>
    <n v="42666"/>
    <n v="3509"/>
    <x v="0"/>
  </r>
  <r>
    <x v="3"/>
    <x v="9"/>
    <x v="5"/>
    <x v="2"/>
    <s v="Blue"/>
    <x v="1"/>
    <x v="0"/>
    <x v="0"/>
    <x v="113"/>
    <n v="15609"/>
    <n v="4220"/>
    <x v="2"/>
  </r>
  <r>
    <x v="4"/>
    <x v="9"/>
    <x v="6"/>
    <x v="1"/>
    <s v="Red"/>
    <x v="0"/>
    <x v="0"/>
    <x v="0"/>
    <x v="114"/>
    <n v="37922"/>
    <n v="4625"/>
    <x v="2"/>
  </r>
  <r>
    <x v="5"/>
    <x v="9"/>
    <x v="7"/>
    <x v="1"/>
    <s v="Silver"/>
    <x v="2"/>
    <x v="1"/>
    <x v="1"/>
    <x v="115"/>
    <n v="33689"/>
    <n v="888"/>
    <x v="1"/>
  </r>
  <r>
    <x v="6"/>
    <x v="9"/>
    <x v="8"/>
    <x v="2"/>
    <s v="Red"/>
    <x v="0"/>
    <x v="0"/>
    <x v="0"/>
    <x v="116"/>
    <n v="32386"/>
    <n v="2538"/>
    <x v="1"/>
  </r>
  <r>
    <x v="7"/>
    <x v="9"/>
    <x v="9"/>
    <x v="1"/>
    <s v="Red"/>
    <x v="3"/>
    <x v="1"/>
    <x v="0"/>
    <x v="117"/>
    <n v="22248"/>
    <n v="2201"/>
    <x v="2"/>
  </r>
  <r>
    <x v="8"/>
    <x v="9"/>
    <x v="10"/>
    <x v="1"/>
    <s v="Black"/>
    <x v="3"/>
    <x v="0"/>
    <x v="2"/>
    <x v="118"/>
    <n v="25249"/>
    <n v="2099"/>
    <x v="2"/>
  </r>
  <r>
    <x v="9"/>
    <x v="9"/>
    <x v="11"/>
    <x v="0"/>
    <s v="Black"/>
    <x v="1"/>
    <x v="1"/>
    <x v="1"/>
    <x v="119"/>
    <n v="31483"/>
    <n v="2244"/>
    <x v="0"/>
  </r>
  <r>
    <x v="10"/>
    <x v="10"/>
    <x v="0"/>
    <x v="2"/>
    <s v="Red"/>
    <x v="0"/>
    <x v="0"/>
    <x v="0"/>
    <x v="120"/>
    <n v="31855"/>
    <n v="1550"/>
    <x v="0"/>
  </r>
  <r>
    <x v="0"/>
    <x v="10"/>
    <x v="1"/>
    <x v="2"/>
    <s v="Blue"/>
    <x v="0"/>
    <x v="1"/>
    <x v="1"/>
    <x v="121"/>
    <n v="23748"/>
    <n v="1958"/>
    <x v="2"/>
  </r>
  <r>
    <x v="1"/>
    <x v="10"/>
    <x v="2"/>
    <x v="1"/>
    <s v="Silver"/>
    <x v="0"/>
    <x v="1"/>
    <x v="2"/>
    <x v="122"/>
    <n v="16467"/>
    <n v="4088"/>
    <x v="2"/>
  </r>
  <r>
    <x v="2"/>
    <x v="10"/>
    <x v="3"/>
    <x v="1"/>
    <s v="Grey"/>
    <x v="2"/>
    <x v="1"/>
    <x v="1"/>
    <x v="123"/>
    <n v="35155"/>
    <n v="3711"/>
    <x v="1"/>
  </r>
  <r>
    <x v="3"/>
    <x v="10"/>
    <x v="4"/>
    <x v="2"/>
    <s v="Black"/>
    <x v="3"/>
    <x v="0"/>
    <x v="1"/>
    <x v="124"/>
    <n v="36863"/>
    <n v="712"/>
    <x v="1"/>
  </r>
  <r>
    <x v="4"/>
    <x v="10"/>
    <x v="5"/>
    <x v="2"/>
    <s v="Red"/>
    <x v="2"/>
    <x v="1"/>
    <x v="2"/>
    <x v="125"/>
    <n v="38291"/>
    <n v="757"/>
    <x v="1"/>
  </r>
  <r>
    <x v="5"/>
    <x v="10"/>
    <x v="6"/>
    <x v="1"/>
    <s v="Red"/>
    <x v="1"/>
    <x v="1"/>
    <x v="1"/>
    <x v="126"/>
    <n v="18121"/>
    <n v="780"/>
    <x v="2"/>
  </r>
  <r>
    <x v="6"/>
    <x v="10"/>
    <x v="7"/>
    <x v="1"/>
    <s v="Red"/>
    <x v="2"/>
    <x v="1"/>
    <x v="2"/>
    <x v="127"/>
    <n v="31346"/>
    <n v="2262"/>
    <x v="2"/>
  </r>
  <r>
    <x v="7"/>
    <x v="10"/>
    <x v="8"/>
    <x v="0"/>
    <s v="Black"/>
    <x v="2"/>
    <x v="0"/>
    <x v="0"/>
    <x v="128"/>
    <n v="41107"/>
    <n v="3470"/>
    <x v="1"/>
  </r>
  <r>
    <x v="8"/>
    <x v="10"/>
    <x v="9"/>
    <x v="2"/>
    <s v="Red"/>
    <x v="1"/>
    <x v="1"/>
    <x v="1"/>
    <x v="129"/>
    <n v="15834"/>
    <n v="2112"/>
    <x v="2"/>
  </r>
  <r>
    <x v="9"/>
    <x v="10"/>
    <x v="10"/>
    <x v="1"/>
    <s v="Red"/>
    <x v="0"/>
    <x v="1"/>
    <x v="2"/>
    <x v="130"/>
    <n v="15536"/>
    <n v="3125"/>
    <x v="1"/>
  </r>
  <r>
    <x v="10"/>
    <x v="10"/>
    <x v="11"/>
    <x v="2"/>
    <s v="Black"/>
    <x v="0"/>
    <x v="0"/>
    <x v="0"/>
    <x v="131"/>
    <n v="44324"/>
    <n v="347"/>
    <x v="1"/>
  </r>
  <r>
    <x v="0"/>
    <x v="11"/>
    <x v="0"/>
    <x v="1"/>
    <s v="Grey"/>
    <x v="0"/>
    <x v="0"/>
    <x v="0"/>
    <x v="132"/>
    <n v="21023"/>
    <n v="547"/>
    <x v="0"/>
  </r>
  <r>
    <x v="1"/>
    <x v="11"/>
    <x v="1"/>
    <x v="0"/>
    <s v="Blue"/>
    <x v="0"/>
    <x v="0"/>
    <x v="0"/>
    <x v="133"/>
    <n v="31077"/>
    <n v="2656"/>
    <x v="0"/>
  </r>
  <r>
    <x v="2"/>
    <x v="11"/>
    <x v="2"/>
    <x v="2"/>
    <s v="Silver"/>
    <x v="1"/>
    <x v="1"/>
    <x v="2"/>
    <x v="134"/>
    <n v="19823"/>
    <n v="2214"/>
    <x v="0"/>
  </r>
  <r>
    <x v="3"/>
    <x v="11"/>
    <x v="3"/>
    <x v="1"/>
    <s v="Silver"/>
    <x v="2"/>
    <x v="1"/>
    <x v="1"/>
    <x v="135"/>
    <n v="38621"/>
    <n v="3151"/>
    <x v="1"/>
  </r>
  <r>
    <x v="4"/>
    <x v="11"/>
    <x v="4"/>
    <x v="2"/>
    <s v="White"/>
    <x v="2"/>
    <x v="1"/>
    <x v="0"/>
    <x v="136"/>
    <n v="30818"/>
    <n v="3022"/>
    <x v="0"/>
  </r>
  <r>
    <x v="5"/>
    <x v="11"/>
    <x v="5"/>
    <x v="2"/>
    <s v="Grey"/>
    <x v="1"/>
    <x v="0"/>
    <x v="1"/>
    <x v="137"/>
    <n v="43531"/>
    <n v="4693"/>
    <x v="1"/>
  </r>
  <r>
    <x v="6"/>
    <x v="11"/>
    <x v="6"/>
    <x v="0"/>
    <s v="Black"/>
    <x v="2"/>
    <x v="0"/>
    <x v="1"/>
    <x v="138"/>
    <n v="31488"/>
    <n v="2545"/>
    <x v="0"/>
  </r>
  <r>
    <x v="7"/>
    <x v="11"/>
    <x v="7"/>
    <x v="0"/>
    <s v="Red"/>
    <x v="1"/>
    <x v="0"/>
    <x v="1"/>
    <x v="139"/>
    <n v="24494"/>
    <n v="1934"/>
    <x v="0"/>
  </r>
  <r>
    <x v="8"/>
    <x v="11"/>
    <x v="8"/>
    <x v="0"/>
    <s v="Red"/>
    <x v="1"/>
    <x v="0"/>
    <x v="0"/>
    <x v="140"/>
    <n v="32389"/>
    <n v="3911"/>
    <x v="2"/>
  </r>
  <r>
    <x v="9"/>
    <x v="11"/>
    <x v="9"/>
    <x v="2"/>
    <s v="Black"/>
    <x v="2"/>
    <x v="0"/>
    <x v="0"/>
    <x v="141"/>
    <n v="25468"/>
    <n v="2714"/>
    <x v="1"/>
  </r>
  <r>
    <x v="10"/>
    <x v="11"/>
    <x v="10"/>
    <x v="1"/>
    <s v="Silver"/>
    <x v="3"/>
    <x v="0"/>
    <x v="2"/>
    <x v="142"/>
    <n v="23265"/>
    <n v="4684"/>
    <x v="1"/>
  </r>
  <r>
    <x v="0"/>
    <x v="11"/>
    <x v="11"/>
    <x v="2"/>
    <s v="Silver"/>
    <x v="0"/>
    <x v="0"/>
    <x v="0"/>
    <x v="143"/>
    <n v="20922"/>
    <n v="2725"/>
    <x v="0"/>
  </r>
  <r>
    <x v="1"/>
    <x v="12"/>
    <x v="0"/>
    <x v="2"/>
    <s v="Black"/>
    <x v="3"/>
    <x v="0"/>
    <x v="2"/>
    <x v="144"/>
    <n v="15987"/>
    <n v="2462"/>
    <x v="0"/>
  </r>
  <r>
    <x v="2"/>
    <x v="12"/>
    <x v="1"/>
    <x v="2"/>
    <s v="Blue"/>
    <x v="0"/>
    <x v="0"/>
    <x v="2"/>
    <x v="145"/>
    <n v="39548"/>
    <n v="351"/>
    <x v="1"/>
  </r>
  <r>
    <x v="3"/>
    <x v="12"/>
    <x v="2"/>
    <x v="2"/>
    <s v="Silver"/>
    <x v="2"/>
    <x v="1"/>
    <x v="0"/>
    <x v="146"/>
    <n v="32622"/>
    <n v="2787"/>
    <x v="2"/>
  </r>
  <r>
    <x v="4"/>
    <x v="12"/>
    <x v="3"/>
    <x v="1"/>
    <s v="Black"/>
    <x v="0"/>
    <x v="0"/>
    <x v="0"/>
    <x v="147"/>
    <n v="30797"/>
    <n v="4403"/>
    <x v="0"/>
  </r>
  <r>
    <x v="5"/>
    <x v="12"/>
    <x v="4"/>
    <x v="0"/>
    <s v="Red"/>
    <x v="1"/>
    <x v="1"/>
    <x v="1"/>
    <x v="148"/>
    <n v="19593"/>
    <n v="3490"/>
    <x v="2"/>
  </r>
  <r>
    <x v="6"/>
    <x v="12"/>
    <x v="5"/>
    <x v="1"/>
    <s v="White"/>
    <x v="2"/>
    <x v="1"/>
    <x v="1"/>
    <x v="149"/>
    <n v="37956"/>
    <n v="1577"/>
    <x v="1"/>
  </r>
  <r>
    <x v="7"/>
    <x v="12"/>
    <x v="6"/>
    <x v="2"/>
    <s v="Black"/>
    <x v="3"/>
    <x v="0"/>
    <x v="0"/>
    <x v="150"/>
    <n v="44531"/>
    <n v="4494"/>
    <x v="2"/>
  </r>
  <r>
    <x v="8"/>
    <x v="12"/>
    <x v="7"/>
    <x v="1"/>
    <s v="Black"/>
    <x v="3"/>
    <x v="1"/>
    <x v="2"/>
    <x v="151"/>
    <n v="19080"/>
    <n v="2744"/>
    <x v="0"/>
  </r>
  <r>
    <x v="9"/>
    <x v="12"/>
    <x v="8"/>
    <x v="1"/>
    <s v="Black"/>
    <x v="0"/>
    <x v="1"/>
    <x v="2"/>
    <x v="152"/>
    <n v="15978"/>
    <n v="3415"/>
    <x v="0"/>
  </r>
  <r>
    <x v="10"/>
    <x v="12"/>
    <x v="9"/>
    <x v="0"/>
    <s v="Red"/>
    <x v="2"/>
    <x v="1"/>
    <x v="2"/>
    <x v="153"/>
    <n v="17407"/>
    <n v="4466"/>
    <x v="0"/>
  </r>
  <r>
    <x v="0"/>
    <x v="12"/>
    <x v="10"/>
    <x v="2"/>
    <s v="White"/>
    <x v="0"/>
    <x v="1"/>
    <x v="1"/>
    <x v="154"/>
    <n v="32814"/>
    <n v="2191"/>
    <x v="0"/>
  </r>
  <r>
    <x v="1"/>
    <x v="12"/>
    <x v="11"/>
    <x v="0"/>
    <s v="Red"/>
    <x v="2"/>
    <x v="0"/>
    <x v="1"/>
    <x v="155"/>
    <n v="42659"/>
    <n v="1257"/>
    <x v="0"/>
  </r>
  <r>
    <x v="2"/>
    <x v="13"/>
    <x v="0"/>
    <x v="2"/>
    <s v="Grey"/>
    <x v="1"/>
    <x v="1"/>
    <x v="0"/>
    <x v="156"/>
    <n v="20405"/>
    <n v="2358"/>
    <x v="2"/>
  </r>
  <r>
    <x v="3"/>
    <x v="13"/>
    <x v="1"/>
    <x v="2"/>
    <s v="Silver"/>
    <x v="3"/>
    <x v="0"/>
    <x v="2"/>
    <x v="157"/>
    <n v="25459"/>
    <n v="4460"/>
    <x v="0"/>
  </r>
  <r>
    <x v="4"/>
    <x v="13"/>
    <x v="2"/>
    <x v="2"/>
    <s v="Blue"/>
    <x v="1"/>
    <x v="1"/>
    <x v="0"/>
    <x v="158"/>
    <n v="15418"/>
    <n v="2575"/>
    <x v="2"/>
  </r>
  <r>
    <x v="5"/>
    <x v="13"/>
    <x v="3"/>
    <x v="1"/>
    <s v="Grey"/>
    <x v="1"/>
    <x v="0"/>
    <x v="0"/>
    <x v="159"/>
    <n v="38183"/>
    <n v="4746"/>
    <x v="1"/>
  </r>
  <r>
    <x v="6"/>
    <x v="13"/>
    <x v="4"/>
    <x v="2"/>
    <s v="White"/>
    <x v="2"/>
    <x v="0"/>
    <x v="1"/>
    <x v="160"/>
    <n v="28485"/>
    <n v="1908"/>
    <x v="2"/>
  </r>
  <r>
    <x v="7"/>
    <x v="13"/>
    <x v="5"/>
    <x v="0"/>
    <s v="Blue"/>
    <x v="1"/>
    <x v="0"/>
    <x v="0"/>
    <x v="161"/>
    <n v="33476"/>
    <n v="3562"/>
    <x v="1"/>
  </r>
  <r>
    <x v="8"/>
    <x v="13"/>
    <x v="6"/>
    <x v="0"/>
    <s v="Black"/>
    <x v="2"/>
    <x v="1"/>
    <x v="0"/>
    <x v="162"/>
    <n v="15243"/>
    <n v="572"/>
    <x v="1"/>
  </r>
  <r>
    <x v="9"/>
    <x v="13"/>
    <x v="7"/>
    <x v="0"/>
    <s v="Silver"/>
    <x v="3"/>
    <x v="0"/>
    <x v="2"/>
    <x v="163"/>
    <n v="44879"/>
    <n v="1686"/>
    <x v="2"/>
  </r>
  <r>
    <x v="10"/>
    <x v="13"/>
    <x v="8"/>
    <x v="1"/>
    <s v="White"/>
    <x v="3"/>
    <x v="1"/>
    <x v="0"/>
    <x v="164"/>
    <n v="43987"/>
    <n v="2943"/>
    <x v="0"/>
  </r>
  <r>
    <x v="0"/>
    <x v="13"/>
    <x v="9"/>
    <x v="1"/>
    <s v="Blue"/>
    <x v="3"/>
    <x v="0"/>
    <x v="1"/>
    <x v="165"/>
    <n v="29752"/>
    <n v="2522"/>
    <x v="2"/>
  </r>
  <r>
    <x v="1"/>
    <x v="13"/>
    <x v="10"/>
    <x v="1"/>
    <s v="Silver"/>
    <x v="3"/>
    <x v="0"/>
    <x v="1"/>
    <x v="166"/>
    <n v="19456"/>
    <n v="2255"/>
    <x v="0"/>
  </r>
  <r>
    <x v="2"/>
    <x v="13"/>
    <x v="11"/>
    <x v="1"/>
    <s v="Silver"/>
    <x v="1"/>
    <x v="1"/>
    <x v="0"/>
    <x v="167"/>
    <n v="20278"/>
    <n v="2640"/>
    <x v="0"/>
  </r>
  <r>
    <x v="3"/>
    <x v="14"/>
    <x v="0"/>
    <x v="1"/>
    <s v="Silver"/>
    <x v="0"/>
    <x v="1"/>
    <x v="0"/>
    <x v="168"/>
    <n v="16066"/>
    <n v="2287"/>
    <x v="2"/>
  </r>
  <r>
    <x v="4"/>
    <x v="14"/>
    <x v="1"/>
    <x v="0"/>
    <s v="Blue"/>
    <x v="2"/>
    <x v="1"/>
    <x v="0"/>
    <x v="169"/>
    <n v="15000"/>
    <n v="3968"/>
    <x v="2"/>
  </r>
  <r>
    <x v="5"/>
    <x v="14"/>
    <x v="2"/>
    <x v="0"/>
    <s v="Silver"/>
    <x v="0"/>
    <x v="1"/>
    <x v="2"/>
    <x v="170"/>
    <n v="26462"/>
    <n v="4678"/>
    <x v="0"/>
  </r>
  <r>
    <x v="6"/>
    <x v="14"/>
    <x v="3"/>
    <x v="1"/>
    <s v="Silver"/>
    <x v="0"/>
    <x v="1"/>
    <x v="0"/>
    <x v="171"/>
    <n v="39979"/>
    <n v="2829"/>
    <x v="2"/>
  </r>
  <r>
    <x v="7"/>
    <x v="14"/>
    <x v="4"/>
    <x v="2"/>
    <s v="White"/>
    <x v="1"/>
    <x v="0"/>
    <x v="2"/>
    <x v="172"/>
    <n v="25671"/>
    <n v="1140"/>
    <x v="1"/>
  </r>
  <r>
    <x v="8"/>
    <x v="14"/>
    <x v="5"/>
    <x v="1"/>
    <s v="Red"/>
    <x v="2"/>
    <x v="1"/>
    <x v="2"/>
    <x v="173"/>
    <n v="23690"/>
    <n v="917"/>
    <x v="0"/>
  </r>
  <r>
    <x v="9"/>
    <x v="14"/>
    <x v="6"/>
    <x v="1"/>
    <s v="Blue"/>
    <x v="2"/>
    <x v="0"/>
    <x v="0"/>
    <x v="174"/>
    <n v="21454"/>
    <n v="494"/>
    <x v="1"/>
  </r>
  <r>
    <x v="10"/>
    <x v="14"/>
    <x v="7"/>
    <x v="0"/>
    <s v="Grey"/>
    <x v="1"/>
    <x v="0"/>
    <x v="1"/>
    <x v="175"/>
    <n v="43736"/>
    <n v="713"/>
    <x v="2"/>
  </r>
  <r>
    <x v="0"/>
    <x v="14"/>
    <x v="8"/>
    <x v="2"/>
    <s v="Black"/>
    <x v="3"/>
    <x v="1"/>
    <x v="1"/>
    <x v="176"/>
    <n v="17160"/>
    <n v="1590"/>
    <x v="1"/>
  </r>
  <r>
    <x v="1"/>
    <x v="14"/>
    <x v="9"/>
    <x v="1"/>
    <s v="Black"/>
    <x v="2"/>
    <x v="1"/>
    <x v="2"/>
    <x v="177"/>
    <n v="21828"/>
    <n v="3248"/>
    <x v="2"/>
  </r>
  <r>
    <x v="2"/>
    <x v="14"/>
    <x v="10"/>
    <x v="0"/>
    <s v="Blue"/>
    <x v="3"/>
    <x v="1"/>
    <x v="1"/>
    <x v="178"/>
    <n v="21319"/>
    <n v="2097"/>
    <x v="1"/>
  </r>
  <r>
    <x v="3"/>
    <x v="14"/>
    <x v="11"/>
    <x v="0"/>
    <s v="Silver"/>
    <x v="1"/>
    <x v="0"/>
    <x v="1"/>
    <x v="179"/>
    <n v="41774"/>
    <n v="4137"/>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n v="2010"/>
    <s v="January"/>
    <s v="Asia"/>
    <s v="Red"/>
    <s v="Hybrid"/>
    <s v="Manual"/>
    <n v="2.5"/>
    <n v="103854"/>
    <n v="44165"/>
    <n v="4490"/>
    <s v="Medium"/>
  </r>
  <r>
    <x v="1"/>
    <n v="2010"/>
    <s v="February"/>
    <s v="USA"/>
    <s v="White"/>
    <s v="Petrol"/>
    <s v="Automatic"/>
    <n v="2.5"/>
    <n v="105651"/>
    <n v="24363"/>
    <n v="4615"/>
    <s v="High"/>
  </r>
  <r>
    <x v="2"/>
    <n v="2010"/>
    <s v="March"/>
    <s v="USA"/>
    <s v="Silver"/>
    <s v="Electric"/>
    <s v="Manual"/>
    <n v="2"/>
    <n v="108883"/>
    <n v="34153"/>
    <n v="1744"/>
    <s v="High"/>
  </r>
  <r>
    <x v="3"/>
    <n v="2010"/>
    <s v="April"/>
    <s v="Asia"/>
    <s v="Silver"/>
    <s v="Electric"/>
    <s v="Automatic"/>
    <n v="2"/>
    <n v="48920"/>
    <n v="36190"/>
    <n v="441"/>
    <s v="High"/>
  </r>
  <r>
    <x v="4"/>
    <n v="2010"/>
    <s v="May"/>
    <s v="Europe"/>
    <s v="Red"/>
    <s v="Electric"/>
    <s v="Automatic"/>
    <n v="2"/>
    <n v="94082"/>
    <n v="38771"/>
    <n v="3102"/>
    <s v="High"/>
  </r>
  <r>
    <x v="5"/>
    <n v="2010"/>
    <s v="June"/>
    <s v="Asia"/>
    <s v="Grey"/>
    <s v="Petrol"/>
    <s v="Manual"/>
    <n v="2.5"/>
    <n v="38578"/>
    <n v="20906"/>
    <n v="3638"/>
    <s v="High"/>
  </r>
  <r>
    <x v="6"/>
    <n v="2010"/>
    <s v="July"/>
    <s v="Asia"/>
    <s v="Red"/>
    <s v="Hybrid"/>
    <s v="Automatic"/>
    <n v="3"/>
    <n v="89206"/>
    <n v="32165"/>
    <n v="2294"/>
    <s v="Low"/>
  </r>
  <r>
    <x v="7"/>
    <n v="2010"/>
    <s v="August"/>
    <s v="USA"/>
    <s v="Blue"/>
    <s v="Hybrid"/>
    <s v="Automatic"/>
    <n v="2.5"/>
    <n v="58454"/>
    <n v="40333"/>
    <n v="2634"/>
    <s v="High"/>
  </r>
  <r>
    <x v="8"/>
    <n v="2010"/>
    <s v="September"/>
    <s v="USA"/>
    <s v="Grey"/>
    <s v="Electric"/>
    <s v="Automatic"/>
    <n v="2"/>
    <n v="100893"/>
    <n v="19521"/>
    <n v="3948"/>
    <s v="Medium"/>
  </r>
  <r>
    <x v="9"/>
    <n v="2010"/>
    <s v="October"/>
    <s v="Asia"/>
    <s v="Red"/>
    <s v="Petrol"/>
    <s v="Automatic"/>
    <n v="3"/>
    <n v="85216"/>
    <n v="29005"/>
    <n v="3313"/>
    <s v="Medium"/>
  </r>
  <r>
    <x v="10"/>
    <n v="2010"/>
    <s v="November"/>
    <s v="Europe"/>
    <s v="Grey"/>
    <s v="Electric"/>
    <s v="Manual"/>
    <n v="2.5"/>
    <n v="97054"/>
    <n v="36175"/>
    <n v="2892"/>
    <s v="High"/>
  </r>
  <r>
    <x v="0"/>
    <n v="2010"/>
    <s v="December"/>
    <s v="Asia"/>
    <s v="Red"/>
    <s v="Diesel"/>
    <s v="Automatic"/>
    <n v="3"/>
    <n v="66289"/>
    <n v="20971"/>
    <n v="3877"/>
    <s v="High"/>
  </r>
  <r>
    <x v="1"/>
    <n v="2011"/>
    <s v="January"/>
    <s v="Europe"/>
    <s v="Black"/>
    <s v="Diesel"/>
    <s v="Automatic"/>
    <n v="2.5"/>
    <n v="74167"/>
    <n v="26374"/>
    <n v="4409"/>
    <s v="Medium"/>
  </r>
  <r>
    <x v="2"/>
    <n v="2011"/>
    <s v="February"/>
    <s v="USA"/>
    <s v="Silver"/>
    <s v="Electric"/>
    <s v="Manual"/>
    <n v="3"/>
    <n v="31190"/>
    <n v="24577"/>
    <n v="4411"/>
    <s v="High"/>
  </r>
  <r>
    <x v="3"/>
    <n v="2011"/>
    <s v="March"/>
    <s v="Europe"/>
    <s v="Silver"/>
    <s v="Diesel"/>
    <s v="Automatic"/>
    <n v="2"/>
    <n v="40581"/>
    <n v="15861"/>
    <n v="4659"/>
    <s v="Low"/>
  </r>
  <r>
    <x v="4"/>
    <n v="2011"/>
    <s v="April"/>
    <s v="Europe"/>
    <s v="Silver"/>
    <s v="Diesel"/>
    <s v="Manual"/>
    <n v="3"/>
    <n v="108854"/>
    <n v="24549"/>
    <n v="2063"/>
    <s v="High"/>
  </r>
  <r>
    <x v="5"/>
    <n v="2011"/>
    <s v="May"/>
    <s v="USA"/>
    <s v="Grey"/>
    <s v="Diesel"/>
    <s v="Automatic"/>
    <n v="2"/>
    <n v="53865"/>
    <n v="24409"/>
    <n v="2947"/>
    <s v="High"/>
  </r>
  <r>
    <x v="6"/>
    <n v="2011"/>
    <s v="June"/>
    <s v="Europe"/>
    <s v="Silver"/>
    <s v="Electric"/>
    <s v="Manual"/>
    <n v="2.5"/>
    <n v="43321"/>
    <n v="36103"/>
    <n v="2432"/>
    <s v="Medium"/>
  </r>
  <r>
    <x v="7"/>
    <n v="2011"/>
    <s v="July"/>
    <s v="Asia"/>
    <s v="Blue"/>
    <s v="Electric"/>
    <s v="Automatic"/>
    <n v="2.5"/>
    <n v="68831"/>
    <n v="24321"/>
    <n v="2358"/>
    <s v="High"/>
  </r>
  <r>
    <x v="8"/>
    <n v="2011"/>
    <s v="August"/>
    <s v="Asia"/>
    <s v="Silver"/>
    <s v="Diesel"/>
    <s v="Manual"/>
    <n v="2.5"/>
    <n v="56199"/>
    <n v="34032"/>
    <n v="4545"/>
    <s v="Medium"/>
  </r>
  <r>
    <x v="9"/>
    <n v="2011"/>
    <s v="September"/>
    <s v="Asia"/>
    <s v="Blue"/>
    <s v="Petrol"/>
    <s v="Manual"/>
    <n v="3"/>
    <n v="60125"/>
    <n v="33854"/>
    <n v="531"/>
    <s v="Low"/>
  </r>
  <r>
    <x v="10"/>
    <n v="2011"/>
    <s v="October"/>
    <s v="Europe"/>
    <s v="White"/>
    <s v="Electric"/>
    <s v="Manual"/>
    <n v="3"/>
    <n v="104626"/>
    <n v="24395"/>
    <n v="577"/>
    <s v="Low"/>
  </r>
  <r>
    <x v="0"/>
    <n v="2011"/>
    <s v="November"/>
    <s v="USA"/>
    <s v="Black"/>
    <s v="Electric"/>
    <s v="Automatic"/>
    <n v="2"/>
    <n v="50892"/>
    <n v="24984"/>
    <n v="2993"/>
    <s v="Low"/>
  </r>
  <r>
    <x v="1"/>
    <n v="2011"/>
    <s v="December"/>
    <s v="Asia"/>
    <s v="Silver"/>
    <s v="Petrol"/>
    <s v="Automatic"/>
    <n v="2.5"/>
    <n v="60500"/>
    <n v="27268"/>
    <n v="4635"/>
    <s v="High"/>
  </r>
  <r>
    <x v="2"/>
    <n v="2012"/>
    <s v="January"/>
    <s v="Asia"/>
    <s v="Blue"/>
    <s v="Electric"/>
    <s v="Manual"/>
    <n v="2.5"/>
    <n v="85699"/>
    <n v="34723"/>
    <n v="754"/>
    <s v="Medium"/>
  </r>
  <r>
    <x v="3"/>
    <n v="2012"/>
    <s v="February"/>
    <s v="Europe"/>
    <s v="Grey"/>
    <s v="Petrol"/>
    <s v="Automatic"/>
    <n v="2.5"/>
    <n v="66949"/>
    <n v="37239"/>
    <n v="655"/>
    <s v="Low"/>
  </r>
  <r>
    <x v="4"/>
    <n v="2012"/>
    <s v="March"/>
    <s v="Europe"/>
    <s v="Grey"/>
    <s v="Electric"/>
    <s v="Automatic"/>
    <n v="2"/>
    <n v="36201"/>
    <n v="21512"/>
    <n v="1265"/>
    <s v="Low"/>
  </r>
  <r>
    <x v="5"/>
    <n v="2012"/>
    <s v="April"/>
    <s v="USA"/>
    <s v="Grey"/>
    <s v="Diesel"/>
    <s v="Manual"/>
    <n v="2"/>
    <n v="86025"/>
    <n v="37596"/>
    <n v="471"/>
    <s v="Low"/>
  </r>
  <r>
    <x v="6"/>
    <n v="2012"/>
    <s v="May"/>
    <s v="Asia"/>
    <s v="Blue"/>
    <s v="Electric"/>
    <s v="Manual"/>
    <n v="3"/>
    <n v="98179"/>
    <n v="16300"/>
    <n v="2007"/>
    <s v="Low"/>
  </r>
  <r>
    <x v="7"/>
    <n v="2012"/>
    <s v="June"/>
    <s v="Asia"/>
    <s v="Red"/>
    <s v="Electric"/>
    <s v="Manual"/>
    <n v="2"/>
    <n v="44516"/>
    <n v="44386"/>
    <n v="3899"/>
    <s v="Medium"/>
  </r>
  <r>
    <x v="8"/>
    <n v="2012"/>
    <s v="July"/>
    <s v="Asia"/>
    <s v="Grey"/>
    <s v="Hybrid"/>
    <s v="Automatic"/>
    <n v="3"/>
    <n v="107122"/>
    <n v="15939"/>
    <n v="4883"/>
    <s v="Medium"/>
  </r>
  <r>
    <x v="9"/>
    <n v="2012"/>
    <s v="August"/>
    <s v="USA"/>
    <s v="Silver"/>
    <s v="Diesel"/>
    <s v="Automatic"/>
    <n v="2.5"/>
    <n v="46357"/>
    <n v="36567"/>
    <n v="2997"/>
    <s v="Low"/>
  </r>
  <r>
    <x v="10"/>
    <n v="2012"/>
    <s v="September"/>
    <s v="Asia"/>
    <s v="Grey"/>
    <s v="Hybrid"/>
    <s v="Manual"/>
    <n v="2.5"/>
    <n v="59516"/>
    <n v="26640"/>
    <n v="267"/>
    <s v="Low"/>
  </r>
  <r>
    <x v="0"/>
    <n v="2012"/>
    <s v="October"/>
    <s v="USA"/>
    <s v="Blue"/>
    <s v="Hybrid"/>
    <s v="Automatic"/>
    <n v="2"/>
    <n v="66416"/>
    <n v="29041"/>
    <n v="4047"/>
    <s v="Low"/>
  </r>
  <r>
    <x v="1"/>
    <n v="2012"/>
    <s v="November"/>
    <s v="Europe"/>
    <s v="Grey"/>
    <s v="Electric"/>
    <s v="Automatic"/>
    <n v="2"/>
    <n v="49212"/>
    <n v="37756"/>
    <n v="2461"/>
    <s v="Low"/>
  </r>
  <r>
    <x v="2"/>
    <n v="2012"/>
    <s v="December"/>
    <s v="USA"/>
    <s v="Blue"/>
    <s v="Petrol"/>
    <s v="Manual"/>
    <n v="2.5"/>
    <n v="112289"/>
    <n v="20892"/>
    <n v="4478"/>
    <s v="Medium"/>
  </r>
  <r>
    <x v="3"/>
    <n v="2013"/>
    <s v="January"/>
    <s v="Asia"/>
    <s v="Black"/>
    <s v="Electric"/>
    <s v="Manual"/>
    <n v="2.5"/>
    <n v="46008"/>
    <n v="27520"/>
    <n v="1940"/>
    <s v="High"/>
  </r>
  <r>
    <x v="4"/>
    <n v="2013"/>
    <s v="February"/>
    <s v="USA"/>
    <s v="Blue"/>
    <s v="Petrol"/>
    <s v="Automatic"/>
    <n v="2.5"/>
    <n v="34045"/>
    <n v="44153"/>
    <n v="1329"/>
    <s v="Low"/>
  </r>
  <r>
    <x v="5"/>
    <n v="2013"/>
    <s v="March"/>
    <s v="Europe"/>
    <s v="Silver"/>
    <s v="Hybrid"/>
    <s v="Manual"/>
    <n v="2.5"/>
    <n v="60091"/>
    <n v="39999"/>
    <n v="2654"/>
    <s v="Medium"/>
  </r>
  <r>
    <x v="6"/>
    <n v="2013"/>
    <s v="April"/>
    <s v="USA"/>
    <s v="Red"/>
    <s v="Petrol"/>
    <s v="Manual"/>
    <n v="2"/>
    <n v="70389"/>
    <n v="43073"/>
    <n v="599"/>
    <s v="Medium"/>
  </r>
  <r>
    <x v="7"/>
    <n v="2013"/>
    <s v="May"/>
    <s v="Asia"/>
    <s v="Black"/>
    <s v="Diesel"/>
    <s v="Manual"/>
    <n v="2"/>
    <n v="103871"/>
    <n v="26171"/>
    <n v="2923"/>
    <s v="Low"/>
  </r>
  <r>
    <x v="8"/>
    <n v="2013"/>
    <s v="June"/>
    <s v="Asia"/>
    <s v="White"/>
    <s v="Petrol"/>
    <s v="Manual"/>
    <n v="3"/>
    <n v="46048"/>
    <n v="40488"/>
    <n v="2198"/>
    <s v="Low"/>
  </r>
  <r>
    <x v="9"/>
    <n v="2013"/>
    <s v="July"/>
    <s v="USA"/>
    <s v="Silver"/>
    <s v="Hybrid"/>
    <s v="Automatic"/>
    <n v="2.5"/>
    <n v="80150"/>
    <n v="22415"/>
    <n v="294"/>
    <s v="High"/>
  </r>
  <r>
    <x v="10"/>
    <n v="2013"/>
    <s v="August"/>
    <s v="Asia"/>
    <s v="Red"/>
    <s v="Electric"/>
    <s v="Manual"/>
    <n v="2"/>
    <n v="26790"/>
    <n v="25317"/>
    <n v="3587"/>
    <s v="High"/>
  </r>
  <r>
    <x v="0"/>
    <n v="2013"/>
    <s v="September"/>
    <s v="USA"/>
    <s v="Blue"/>
    <s v="Petrol"/>
    <s v="Manual"/>
    <n v="2"/>
    <n v="113643"/>
    <n v="21113"/>
    <n v="4909"/>
    <s v="Medium"/>
  </r>
  <r>
    <x v="1"/>
    <n v="2013"/>
    <s v="October"/>
    <s v="Asia"/>
    <s v="Red"/>
    <s v="Diesel"/>
    <s v="Manual"/>
    <n v="2.5"/>
    <n v="93187"/>
    <n v="44175"/>
    <n v="3858"/>
    <s v="Medium"/>
  </r>
  <r>
    <x v="2"/>
    <n v="2013"/>
    <s v="November"/>
    <s v="Asia"/>
    <s v="Blue"/>
    <s v="Electric"/>
    <s v="Manual"/>
    <n v="2"/>
    <n v="89835"/>
    <n v="36281"/>
    <n v="3980"/>
    <s v="Medium"/>
  </r>
  <r>
    <x v="3"/>
    <n v="2013"/>
    <s v="December"/>
    <s v="Asia"/>
    <s v="White"/>
    <s v="Hybrid"/>
    <s v="Manual"/>
    <n v="3"/>
    <n v="57073"/>
    <n v="24166"/>
    <n v="1616"/>
    <s v="Low"/>
  </r>
  <r>
    <x v="4"/>
    <n v="2014"/>
    <s v="January"/>
    <s v="Europe"/>
    <s v="Black"/>
    <s v="Hybrid"/>
    <s v="Automatic"/>
    <n v="3"/>
    <n v="64455"/>
    <n v="29083"/>
    <n v="2773"/>
    <s v="High"/>
  </r>
  <r>
    <x v="5"/>
    <n v="2014"/>
    <s v="February"/>
    <s v="Europe"/>
    <s v="Blue"/>
    <s v="Petrol"/>
    <s v="Manual"/>
    <n v="2.5"/>
    <n v="92993"/>
    <n v="33549"/>
    <n v="1611"/>
    <s v="Low"/>
  </r>
  <r>
    <x v="6"/>
    <n v="2014"/>
    <s v="March"/>
    <s v="Europe"/>
    <s v="Black"/>
    <s v="Hybrid"/>
    <s v="Automatic"/>
    <n v="2.5"/>
    <n v="91981"/>
    <n v="38958"/>
    <n v="4629"/>
    <s v="High"/>
  </r>
  <r>
    <x v="7"/>
    <n v="2014"/>
    <s v="April"/>
    <s v="Europe"/>
    <s v="Red"/>
    <s v="Diesel"/>
    <s v="Automatic"/>
    <n v="2"/>
    <n v="87878"/>
    <n v="43691"/>
    <n v="2717"/>
    <s v="Medium"/>
  </r>
  <r>
    <x v="8"/>
    <n v="2014"/>
    <s v="May"/>
    <s v="USA"/>
    <s v="Silver"/>
    <s v="Electric"/>
    <s v="Automatic"/>
    <n v="3"/>
    <n v="57603"/>
    <n v="44382"/>
    <n v="2529"/>
    <s v="High"/>
  </r>
  <r>
    <x v="9"/>
    <n v="2014"/>
    <s v="June"/>
    <s v="Asia"/>
    <s v="Grey"/>
    <s v="Hybrid"/>
    <s v="Manual"/>
    <n v="2.5"/>
    <n v="50158"/>
    <n v="23839"/>
    <n v="4474"/>
    <s v="High"/>
  </r>
  <r>
    <x v="10"/>
    <n v="2014"/>
    <s v="July"/>
    <s v="Asia"/>
    <s v="Grey"/>
    <s v="Hybrid"/>
    <s v="Automatic"/>
    <n v="2"/>
    <n v="74145"/>
    <n v="32981"/>
    <n v="2014"/>
    <s v="Medium"/>
  </r>
  <r>
    <x v="0"/>
    <n v="2014"/>
    <s v="August"/>
    <s v="USA"/>
    <s v="Blue"/>
    <s v="Petrol"/>
    <s v="Automatic"/>
    <n v="2.5"/>
    <n v="102139"/>
    <n v="42187"/>
    <n v="2334"/>
    <s v="Medium"/>
  </r>
  <r>
    <x v="1"/>
    <n v="2014"/>
    <s v="September"/>
    <s v="Asia"/>
    <s v="White"/>
    <s v="Hybrid"/>
    <s v="Automatic"/>
    <n v="2.5"/>
    <n v="70632"/>
    <n v="31167"/>
    <n v="1801"/>
    <s v="High"/>
  </r>
  <r>
    <x v="2"/>
    <n v="2014"/>
    <s v="October"/>
    <s v="Europe"/>
    <s v="White"/>
    <s v="Petrol"/>
    <s v="Manual"/>
    <n v="2"/>
    <n v="116839"/>
    <n v="36259"/>
    <n v="4562"/>
    <s v="High"/>
  </r>
  <r>
    <x v="3"/>
    <n v="2014"/>
    <s v="November"/>
    <s v="Europe"/>
    <s v="Grey"/>
    <s v="Diesel"/>
    <s v="Manual"/>
    <n v="3"/>
    <n v="106052"/>
    <n v="30531"/>
    <n v="4964"/>
    <s v="Low"/>
  </r>
  <r>
    <x v="4"/>
    <n v="2014"/>
    <s v="December"/>
    <s v="USA"/>
    <s v="Blue"/>
    <s v="Electric"/>
    <s v="Manual"/>
    <n v="2"/>
    <n v="30261"/>
    <n v="34751"/>
    <n v="3236"/>
    <s v="Medium"/>
  </r>
  <r>
    <x v="5"/>
    <n v="2015"/>
    <s v="January"/>
    <s v="Europe"/>
    <s v="Black"/>
    <s v="Petrol"/>
    <s v="Manual"/>
    <n v="2.5"/>
    <n v="85138"/>
    <n v="35343"/>
    <n v="4495"/>
    <s v="High"/>
  </r>
  <r>
    <x v="6"/>
    <n v="2015"/>
    <s v="February"/>
    <s v="Europe"/>
    <s v="Grey"/>
    <s v="Petrol"/>
    <s v="Manual"/>
    <n v="3"/>
    <n v="80377"/>
    <n v="34765"/>
    <n v="1680"/>
    <s v="Medium"/>
  </r>
  <r>
    <x v="7"/>
    <n v="2015"/>
    <s v="March"/>
    <s v="USA"/>
    <s v="Blue"/>
    <s v="Petrol"/>
    <s v="Automatic"/>
    <n v="2.5"/>
    <n v="34322"/>
    <n v="16142"/>
    <n v="1008"/>
    <s v="Medium"/>
  </r>
  <r>
    <x v="8"/>
    <n v="2015"/>
    <s v="April"/>
    <s v="Asia"/>
    <s v="Silver"/>
    <s v="Hybrid"/>
    <s v="Automatic"/>
    <n v="2.5"/>
    <n v="43068"/>
    <n v="33454"/>
    <n v="323"/>
    <s v="High"/>
  </r>
  <r>
    <x v="9"/>
    <n v="2015"/>
    <s v="May"/>
    <s v="Europe"/>
    <s v="Silver"/>
    <s v="Diesel"/>
    <s v="Automatic"/>
    <n v="3"/>
    <n v="72608"/>
    <n v="42753"/>
    <n v="1331"/>
    <s v="High"/>
  </r>
  <r>
    <x v="10"/>
    <n v="2015"/>
    <s v="June"/>
    <s v="Europe"/>
    <s v="Red"/>
    <s v="Hybrid"/>
    <s v="Automatic"/>
    <n v="2"/>
    <n v="55590"/>
    <n v="35429"/>
    <n v="1264"/>
    <s v="Low"/>
  </r>
  <r>
    <x v="0"/>
    <n v="2015"/>
    <s v="July"/>
    <s v="USA"/>
    <s v="Grey"/>
    <s v="Diesel"/>
    <s v="Automatic"/>
    <n v="2"/>
    <n v="80787"/>
    <n v="24499"/>
    <n v="2894"/>
    <s v="Medium"/>
  </r>
  <r>
    <x v="1"/>
    <n v="2015"/>
    <s v="August"/>
    <s v="Asia"/>
    <s v="Red"/>
    <s v="Petrol"/>
    <s v="Manual"/>
    <n v="2.5"/>
    <n v="78352"/>
    <n v="37036"/>
    <n v="2092"/>
    <s v="Low"/>
  </r>
  <r>
    <x v="2"/>
    <n v="2015"/>
    <s v="September"/>
    <s v="USA"/>
    <s v="Blue"/>
    <s v="Diesel"/>
    <s v="Automatic"/>
    <n v="2.5"/>
    <n v="99442"/>
    <n v="27226"/>
    <n v="3989"/>
    <s v="High"/>
  </r>
  <r>
    <x v="3"/>
    <n v="2015"/>
    <s v="October"/>
    <s v="USA"/>
    <s v="Grey"/>
    <s v="Diesel"/>
    <s v="Automatic"/>
    <n v="2"/>
    <n v="93644"/>
    <n v="15332"/>
    <n v="3233"/>
    <s v="Low"/>
  </r>
  <r>
    <x v="4"/>
    <n v="2015"/>
    <s v="November"/>
    <s v="USA"/>
    <s v="White"/>
    <s v="Electric"/>
    <s v="Manual"/>
    <n v="3"/>
    <n v="65425"/>
    <n v="37734"/>
    <n v="4025"/>
    <s v="High"/>
  </r>
  <r>
    <x v="5"/>
    <n v="2015"/>
    <s v="December"/>
    <s v="Europe"/>
    <s v="Blue"/>
    <s v="Hybrid"/>
    <s v="Manual"/>
    <n v="2"/>
    <n v="46035"/>
    <n v="26576"/>
    <n v="3098"/>
    <s v="High"/>
  </r>
  <r>
    <x v="6"/>
    <n v="2016"/>
    <s v="January"/>
    <s v="USA"/>
    <s v="Silver"/>
    <s v="Petrol"/>
    <s v="Manual"/>
    <n v="2.5"/>
    <n v="39997"/>
    <n v="23851"/>
    <n v="2797"/>
    <s v="Medium"/>
  </r>
  <r>
    <x v="7"/>
    <n v="2016"/>
    <s v="February"/>
    <s v="Asia"/>
    <s v="Silver"/>
    <s v="Petrol"/>
    <s v="Manual"/>
    <n v="2"/>
    <n v="38456"/>
    <n v="38704"/>
    <n v="1083"/>
    <s v="Medium"/>
  </r>
  <r>
    <x v="8"/>
    <n v="2016"/>
    <s v="March"/>
    <s v="Asia"/>
    <s v="Black"/>
    <s v="Hybrid"/>
    <s v="Manual"/>
    <n v="2"/>
    <n v="63327"/>
    <n v="30642"/>
    <n v="567"/>
    <s v="Medium"/>
  </r>
  <r>
    <x v="9"/>
    <n v="2016"/>
    <s v="April"/>
    <s v="Asia"/>
    <s v="Blue"/>
    <s v="Hybrid"/>
    <s v="Manual"/>
    <n v="2.5"/>
    <n v="88544"/>
    <n v="43556"/>
    <n v="2321"/>
    <s v="Medium"/>
  </r>
  <r>
    <x v="10"/>
    <n v="2016"/>
    <s v="May"/>
    <s v="Europe"/>
    <s v="Silver"/>
    <s v="Diesel"/>
    <s v="Manual"/>
    <n v="2.5"/>
    <n v="90139"/>
    <n v="40935"/>
    <n v="4390"/>
    <s v="High"/>
  </r>
  <r>
    <x v="0"/>
    <n v="2016"/>
    <s v="June"/>
    <s v="Asia"/>
    <s v="Grey"/>
    <s v="Diesel"/>
    <s v="Automatic"/>
    <n v="2.5"/>
    <n v="92354"/>
    <n v="20248"/>
    <n v="4998"/>
    <s v="Medium"/>
  </r>
  <r>
    <x v="1"/>
    <n v="2016"/>
    <s v="July"/>
    <s v="Asia"/>
    <s v="Blue"/>
    <s v="Electric"/>
    <s v="Manual"/>
    <n v="2.5"/>
    <n v="33649"/>
    <n v="35968"/>
    <n v="377"/>
    <s v="High"/>
  </r>
  <r>
    <x v="2"/>
    <n v="2016"/>
    <s v="August"/>
    <s v="Asia"/>
    <s v="Red"/>
    <s v="Petrol"/>
    <s v="Automatic"/>
    <n v="2"/>
    <n v="61974"/>
    <n v="41330"/>
    <n v="959"/>
    <s v="High"/>
  </r>
  <r>
    <x v="3"/>
    <n v="2016"/>
    <s v="September"/>
    <s v="Europe"/>
    <s v="Black"/>
    <s v="Diesel"/>
    <s v="Manual"/>
    <n v="3"/>
    <n v="25996"/>
    <n v="18137"/>
    <n v="3772"/>
    <s v="Low"/>
  </r>
  <r>
    <x v="4"/>
    <n v="2016"/>
    <s v="October"/>
    <s v="Europe"/>
    <s v="White"/>
    <s v="Hybrid"/>
    <s v="Manual"/>
    <n v="2"/>
    <n v="66396"/>
    <n v="28036"/>
    <n v="3845"/>
    <s v="Medium"/>
  </r>
  <r>
    <x v="5"/>
    <n v="2016"/>
    <s v="November"/>
    <s v="Asia"/>
    <s v="White"/>
    <s v="Hybrid"/>
    <s v="Automatic"/>
    <n v="3"/>
    <n v="50168"/>
    <n v="25218"/>
    <n v="4856"/>
    <s v="High"/>
  </r>
  <r>
    <x v="6"/>
    <n v="2016"/>
    <s v="December"/>
    <s v="Europe"/>
    <s v="Silver"/>
    <s v="Electric"/>
    <s v="Automatic"/>
    <n v="2"/>
    <n v="57380"/>
    <n v="20829"/>
    <n v="661"/>
    <s v="Medium"/>
  </r>
  <r>
    <x v="7"/>
    <n v="2017"/>
    <s v="January"/>
    <s v="USA"/>
    <s v="White"/>
    <s v="Hybrid"/>
    <s v="Automatic"/>
    <n v="3"/>
    <n v="36857"/>
    <n v="27305"/>
    <n v="3046"/>
    <s v="Low"/>
  </r>
  <r>
    <x v="8"/>
    <n v="2017"/>
    <s v="February"/>
    <s v="USA"/>
    <s v="White"/>
    <s v="Petrol"/>
    <s v="Manual"/>
    <n v="3"/>
    <n v="72704"/>
    <n v="39473"/>
    <n v="3410"/>
    <s v="Medium"/>
  </r>
  <r>
    <x v="9"/>
    <n v="2017"/>
    <s v="March"/>
    <s v="USA"/>
    <s v="Blue"/>
    <s v="Petrol"/>
    <s v="Manual"/>
    <n v="2"/>
    <n v="46100"/>
    <n v="28583"/>
    <n v="4553"/>
    <s v="Low"/>
  </r>
  <r>
    <x v="10"/>
    <n v="2017"/>
    <s v="April"/>
    <s v="Europe"/>
    <s v="Grey"/>
    <s v="Diesel"/>
    <s v="Automatic"/>
    <n v="3"/>
    <n v="32337"/>
    <n v="19233"/>
    <n v="1502"/>
    <s v="Low"/>
  </r>
  <r>
    <x v="0"/>
    <n v="2017"/>
    <s v="May"/>
    <s v="Europe"/>
    <s v="Red"/>
    <s v="Diesel"/>
    <s v="Automatic"/>
    <n v="3"/>
    <n v="60453"/>
    <n v="28651"/>
    <n v="498"/>
    <s v="Low"/>
  </r>
  <r>
    <x v="1"/>
    <n v="2017"/>
    <s v="June"/>
    <s v="Europe"/>
    <s v="Silver"/>
    <s v="Diesel"/>
    <s v="Manual"/>
    <n v="3"/>
    <n v="43224"/>
    <n v="28004"/>
    <n v="1301"/>
    <s v="Low"/>
  </r>
  <r>
    <x v="2"/>
    <n v="2017"/>
    <s v="July"/>
    <s v="Asia"/>
    <s v="Blue"/>
    <s v="Hybrid"/>
    <s v="Automatic"/>
    <n v="3"/>
    <n v="88768"/>
    <n v="26375"/>
    <n v="4329"/>
    <s v="Low"/>
  </r>
  <r>
    <x v="3"/>
    <n v="2017"/>
    <s v="August"/>
    <s v="Europe"/>
    <s v="Black"/>
    <s v="Petrol"/>
    <s v="Manual"/>
    <n v="2.5"/>
    <n v="103178"/>
    <n v="43058"/>
    <n v="984"/>
    <s v="Low"/>
  </r>
  <r>
    <x v="4"/>
    <n v="2017"/>
    <s v="September"/>
    <s v="USA"/>
    <s v="Grey"/>
    <s v="Hybrid"/>
    <s v="Automatic"/>
    <n v="2"/>
    <n v="107198"/>
    <n v="42523"/>
    <n v="3089"/>
    <s v="Low"/>
  </r>
  <r>
    <x v="5"/>
    <n v="2017"/>
    <s v="October"/>
    <s v="Europe"/>
    <s v="White"/>
    <s v="Diesel"/>
    <s v="Manual"/>
    <n v="2.5"/>
    <n v="32334"/>
    <n v="15790"/>
    <n v="284"/>
    <s v="Low"/>
  </r>
  <r>
    <x v="6"/>
    <n v="2017"/>
    <s v="November"/>
    <s v="Europe"/>
    <s v="Red"/>
    <s v="Petrol"/>
    <s v="Manual"/>
    <n v="3"/>
    <n v="55824"/>
    <n v="35992"/>
    <n v="2782"/>
    <s v="Low"/>
  </r>
  <r>
    <x v="7"/>
    <n v="2017"/>
    <s v="December"/>
    <s v="Asia"/>
    <s v="Black"/>
    <s v="Hybrid"/>
    <s v="Automatic"/>
    <n v="2"/>
    <n v="41754"/>
    <n v="36937"/>
    <n v="1648"/>
    <s v="Low"/>
  </r>
  <r>
    <x v="8"/>
    <n v="2018"/>
    <s v="January"/>
    <s v="USA"/>
    <s v="Black"/>
    <s v="Diesel"/>
    <s v="Automatic"/>
    <n v="2.5"/>
    <n v="60428"/>
    <n v="24440"/>
    <n v="1782"/>
    <s v="High"/>
  </r>
  <r>
    <x v="9"/>
    <n v="2018"/>
    <s v="February"/>
    <s v="Asia"/>
    <s v="Silver"/>
    <s v="Hybrid"/>
    <s v="Manual"/>
    <n v="3"/>
    <n v="101286"/>
    <n v="16292"/>
    <n v="434"/>
    <s v="Medium"/>
  </r>
  <r>
    <x v="10"/>
    <n v="2018"/>
    <s v="March"/>
    <s v="Asia"/>
    <s v="Black"/>
    <s v="Diesel"/>
    <s v="Manual"/>
    <n v="3"/>
    <n v="70208"/>
    <n v="27275"/>
    <n v="2151"/>
    <s v="Medium"/>
  </r>
  <r>
    <x v="0"/>
    <n v="2018"/>
    <s v="April"/>
    <s v="Europe"/>
    <s v="Black"/>
    <s v="Hybrid"/>
    <s v="Automatic"/>
    <n v="2"/>
    <n v="82062"/>
    <n v="36274"/>
    <n v="3876"/>
    <s v="High"/>
  </r>
  <r>
    <x v="1"/>
    <n v="2018"/>
    <s v="May"/>
    <s v="Asia"/>
    <s v="Red"/>
    <s v="Hybrid"/>
    <s v="Manual"/>
    <n v="2.5"/>
    <n v="40816"/>
    <n v="34594"/>
    <n v="2633"/>
    <s v="High"/>
  </r>
  <r>
    <x v="2"/>
    <n v="2018"/>
    <s v="June"/>
    <s v="USA"/>
    <s v="White"/>
    <s v="Diesel"/>
    <s v="Manual"/>
    <n v="2.5"/>
    <n v="99484"/>
    <n v="29035"/>
    <n v="2084"/>
    <s v="Low"/>
  </r>
  <r>
    <x v="3"/>
    <n v="2018"/>
    <s v="July"/>
    <s v="USA"/>
    <s v="White"/>
    <s v="Hybrid"/>
    <s v="Manual"/>
    <n v="2.5"/>
    <n v="76032"/>
    <n v="41873"/>
    <n v="3089"/>
    <s v="High"/>
  </r>
  <r>
    <x v="4"/>
    <n v="2018"/>
    <s v="August"/>
    <s v="Europe"/>
    <s v="Red"/>
    <s v="Hybrid"/>
    <s v="Manual"/>
    <n v="2"/>
    <n v="37320"/>
    <n v="18309"/>
    <n v="2809"/>
    <s v="Low"/>
  </r>
  <r>
    <x v="5"/>
    <n v="2018"/>
    <s v="September"/>
    <s v="USA"/>
    <s v="White"/>
    <s v="Diesel"/>
    <s v="Manual"/>
    <n v="2"/>
    <n v="103286"/>
    <n v="39203"/>
    <n v="4771"/>
    <s v="Medium"/>
  </r>
  <r>
    <x v="6"/>
    <n v="2018"/>
    <s v="October"/>
    <s v="Europe"/>
    <s v="Blue"/>
    <s v="Diesel"/>
    <s v="Manual"/>
    <n v="2.5"/>
    <n v="99319"/>
    <n v="15844"/>
    <n v="746"/>
    <s v="Low"/>
  </r>
  <r>
    <x v="7"/>
    <n v="2018"/>
    <s v="November"/>
    <s v="Europe"/>
    <s v="Silver"/>
    <s v="Diesel"/>
    <s v="Automatic"/>
    <n v="3"/>
    <n v="75506"/>
    <n v="35720"/>
    <n v="1894"/>
    <s v="Medium"/>
  </r>
  <r>
    <x v="8"/>
    <n v="2018"/>
    <s v="December"/>
    <s v="USA"/>
    <s v="Black"/>
    <s v="Diesel"/>
    <s v="Automatic"/>
    <n v="2"/>
    <n v="33443"/>
    <n v="25045"/>
    <n v="2207"/>
    <s v="Low"/>
  </r>
  <r>
    <x v="9"/>
    <n v="2019"/>
    <s v="January"/>
    <s v="Europe"/>
    <s v="Grey"/>
    <s v="Diesel"/>
    <s v="Manual"/>
    <n v="2"/>
    <n v="52878"/>
    <n v="40499"/>
    <n v="4853"/>
    <s v="Medium"/>
  </r>
  <r>
    <x v="10"/>
    <n v="2019"/>
    <s v="February"/>
    <s v="USA"/>
    <s v="Blue"/>
    <s v="Hybrid"/>
    <s v="Automatic"/>
    <n v="3"/>
    <n v="89216"/>
    <n v="27146"/>
    <n v="4716"/>
    <s v="Medium"/>
  </r>
  <r>
    <x v="0"/>
    <n v="2019"/>
    <s v="March"/>
    <s v="USA"/>
    <s v="Silver"/>
    <s v="Hybrid"/>
    <s v="Automatic"/>
    <n v="2"/>
    <n v="59093"/>
    <n v="30342"/>
    <n v="4977"/>
    <s v="Medium"/>
  </r>
  <r>
    <x v="1"/>
    <n v="2019"/>
    <s v="April"/>
    <s v="USA"/>
    <s v="Black"/>
    <s v="Electric"/>
    <s v="Manual"/>
    <n v="2.5"/>
    <n v="81985"/>
    <n v="36005"/>
    <n v="4555"/>
    <s v="High"/>
  </r>
  <r>
    <x v="2"/>
    <n v="2019"/>
    <s v="May"/>
    <s v="Asia"/>
    <s v="Grey"/>
    <s v="Diesel"/>
    <s v="Automatic"/>
    <n v="2"/>
    <n v="41459"/>
    <n v="42666"/>
    <n v="3509"/>
    <s v="Medium"/>
  </r>
  <r>
    <x v="3"/>
    <n v="2019"/>
    <s v="June"/>
    <s v="Europe"/>
    <s v="Blue"/>
    <s v="Petrol"/>
    <s v="Manual"/>
    <n v="2.5"/>
    <n v="94702"/>
    <n v="15609"/>
    <n v="4220"/>
    <s v="Low"/>
  </r>
  <r>
    <x v="4"/>
    <n v="2019"/>
    <s v="July"/>
    <s v="USA"/>
    <s v="Red"/>
    <s v="Hybrid"/>
    <s v="Manual"/>
    <n v="2.5"/>
    <n v="51892"/>
    <n v="37922"/>
    <n v="4625"/>
    <s v="Low"/>
  </r>
  <r>
    <x v="5"/>
    <n v="2019"/>
    <s v="August"/>
    <s v="USA"/>
    <s v="Silver"/>
    <s v="Electric"/>
    <s v="Automatic"/>
    <n v="2"/>
    <n v="77235"/>
    <n v="33689"/>
    <n v="888"/>
    <s v="High"/>
  </r>
  <r>
    <x v="6"/>
    <n v="2019"/>
    <s v="September"/>
    <s v="Europe"/>
    <s v="Red"/>
    <s v="Hybrid"/>
    <s v="Manual"/>
    <n v="2.5"/>
    <n v="52766"/>
    <n v="32386"/>
    <n v="2538"/>
    <s v="High"/>
  </r>
  <r>
    <x v="7"/>
    <n v="2019"/>
    <s v="October"/>
    <s v="USA"/>
    <s v="Red"/>
    <s v="Diesel"/>
    <s v="Automatic"/>
    <n v="2.5"/>
    <n v="90301"/>
    <n v="22248"/>
    <n v="2201"/>
    <s v="Low"/>
  </r>
  <r>
    <x v="8"/>
    <n v="2019"/>
    <s v="November"/>
    <s v="USA"/>
    <s v="Black"/>
    <s v="Diesel"/>
    <s v="Manual"/>
    <n v="3"/>
    <n v="92325"/>
    <n v="25249"/>
    <n v="2099"/>
    <s v="Low"/>
  </r>
  <r>
    <x v="9"/>
    <n v="2019"/>
    <s v="December"/>
    <s v="Asia"/>
    <s v="Black"/>
    <s v="Petrol"/>
    <s v="Automatic"/>
    <n v="2"/>
    <n v="77131"/>
    <n v="31483"/>
    <n v="2244"/>
    <s v="Medium"/>
  </r>
  <r>
    <x v="10"/>
    <n v="2020"/>
    <s v="January"/>
    <s v="Europe"/>
    <s v="Red"/>
    <s v="Hybrid"/>
    <s v="Manual"/>
    <n v="2.5"/>
    <n v="27383"/>
    <n v="31855"/>
    <n v="1550"/>
    <s v="Medium"/>
  </r>
  <r>
    <x v="0"/>
    <n v="2020"/>
    <s v="February"/>
    <s v="Europe"/>
    <s v="Blue"/>
    <s v="Hybrid"/>
    <s v="Automatic"/>
    <n v="2"/>
    <n v="47166"/>
    <n v="23748"/>
    <n v="1958"/>
    <s v="Low"/>
  </r>
  <r>
    <x v="1"/>
    <n v="2020"/>
    <s v="March"/>
    <s v="USA"/>
    <s v="Silver"/>
    <s v="Hybrid"/>
    <s v="Automatic"/>
    <n v="3"/>
    <n v="78523"/>
    <n v="16467"/>
    <n v="4088"/>
    <s v="Low"/>
  </r>
  <r>
    <x v="2"/>
    <n v="2020"/>
    <s v="April"/>
    <s v="USA"/>
    <s v="Grey"/>
    <s v="Electric"/>
    <s v="Automatic"/>
    <n v="2"/>
    <n v="67072"/>
    <n v="35155"/>
    <n v="3711"/>
    <s v="High"/>
  </r>
  <r>
    <x v="3"/>
    <n v="2020"/>
    <s v="May"/>
    <s v="Europe"/>
    <s v="Black"/>
    <s v="Diesel"/>
    <s v="Manual"/>
    <n v="2"/>
    <n v="78852"/>
    <n v="36863"/>
    <n v="712"/>
    <s v="High"/>
  </r>
  <r>
    <x v="4"/>
    <n v="2020"/>
    <s v="June"/>
    <s v="Europe"/>
    <s v="Red"/>
    <s v="Electric"/>
    <s v="Automatic"/>
    <n v="3"/>
    <n v="77615"/>
    <n v="38291"/>
    <n v="757"/>
    <s v="High"/>
  </r>
  <r>
    <x v="5"/>
    <n v="2020"/>
    <s v="July"/>
    <s v="USA"/>
    <s v="Red"/>
    <s v="Petrol"/>
    <s v="Automatic"/>
    <n v="2"/>
    <n v="59565"/>
    <n v="18121"/>
    <n v="780"/>
    <s v="Low"/>
  </r>
  <r>
    <x v="6"/>
    <n v="2020"/>
    <s v="August"/>
    <s v="USA"/>
    <s v="Red"/>
    <s v="Electric"/>
    <s v="Automatic"/>
    <n v="3"/>
    <n v="119045"/>
    <n v="31346"/>
    <n v="2262"/>
    <s v="Low"/>
  </r>
  <r>
    <x v="7"/>
    <n v="2020"/>
    <s v="September"/>
    <s v="Asia"/>
    <s v="Black"/>
    <s v="Electric"/>
    <s v="Manual"/>
    <n v="2.5"/>
    <n v="72020"/>
    <n v="41107"/>
    <n v="3470"/>
    <s v="High"/>
  </r>
  <r>
    <x v="8"/>
    <n v="2020"/>
    <s v="October"/>
    <s v="Europe"/>
    <s v="Red"/>
    <s v="Petrol"/>
    <s v="Automatic"/>
    <n v="2"/>
    <n v="88509"/>
    <n v="15834"/>
    <n v="2112"/>
    <s v="Low"/>
  </r>
  <r>
    <x v="9"/>
    <n v="2020"/>
    <s v="November"/>
    <s v="USA"/>
    <s v="Red"/>
    <s v="Hybrid"/>
    <s v="Automatic"/>
    <n v="3"/>
    <n v="100315"/>
    <n v="15536"/>
    <n v="3125"/>
    <s v="High"/>
  </r>
  <r>
    <x v="10"/>
    <n v="2020"/>
    <s v="December"/>
    <s v="Europe"/>
    <s v="Black"/>
    <s v="Hybrid"/>
    <s v="Manual"/>
    <n v="2.5"/>
    <n v="92811"/>
    <n v="44324"/>
    <n v="347"/>
    <s v="High"/>
  </r>
  <r>
    <x v="0"/>
    <n v="2021"/>
    <s v="January"/>
    <s v="USA"/>
    <s v="Grey"/>
    <s v="Hybrid"/>
    <s v="Manual"/>
    <n v="2.5"/>
    <n v="77044"/>
    <n v="21023"/>
    <n v="547"/>
    <s v="Medium"/>
  </r>
  <r>
    <x v="1"/>
    <n v="2021"/>
    <s v="February"/>
    <s v="Asia"/>
    <s v="Blue"/>
    <s v="Hybrid"/>
    <s v="Manual"/>
    <n v="2.5"/>
    <n v="119604"/>
    <n v="31077"/>
    <n v="2656"/>
    <s v="Medium"/>
  </r>
  <r>
    <x v="2"/>
    <n v="2021"/>
    <s v="March"/>
    <s v="Europe"/>
    <s v="Silver"/>
    <s v="Petrol"/>
    <s v="Automatic"/>
    <n v="3"/>
    <n v="33151"/>
    <n v="19823"/>
    <n v="2214"/>
    <s v="Medium"/>
  </r>
  <r>
    <x v="3"/>
    <n v="2021"/>
    <s v="April"/>
    <s v="USA"/>
    <s v="Silver"/>
    <s v="Electric"/>
    <s v="Automatic"/>
    <n v="2"/>
    <n v="89018"/>
    <n v="38621"/>
    <n v="3151"/>
    <s v="High"/>
  </r>
  <r>
    <x v="4"/>
    <n v="2021"/>
    <s v="May"/>
    <s v="Europe"/>
    <s v="White"/>
    <s v="Electric"/>
    <s v="Automatic"/>
    <n v="2.5"/>
    <n v="31719"/>
    <n v="30818"/>
    <n v="3022"/>
    <s v="Medium"/>
  </r>
  <r>
    <x v="5"/>
    <n v="2021"/>
    <s v="June"/>
    <s v="Europe"/>
    <s v="Grey"/>
    <s v="Petrol"/>
    <s v="Manual"/>
    <n v="2"/>
    <n v="106463"/>
    <n v="43531"/>
    <n v="4693"/>
    <s v="High"/>
  </r>
  <r>
    <x v="6"/>
    <n v="2021"/>
    <s v="July"/>
    <s v="Asia"/>
    <s v="Black"/>
    <s v="Electric"/>
    <s v="Manual"/>
    <n v="2"/>
    <n v="113767"/>
    <n v="31488"/>
    <n v="2545"/>
    <s v="Medium"/>
  </r>
  <r>
    <x v="7"/>
    <n v="2021"/>
    <s v="August"/>
    <s v="Asia"/>
    <s v="Red"/>
    <s v="Petrol"/>
    <s v="Manual"/>
    <n v="2"/>
    <n v="25556"/>
    <n v="24494"/>
    <n v="1934"/>
    <s v="Medium"/>
  </r>
  <r>
    <x v="8"/>
    <n v="2021"/>
    <s v="September"/>
    <s v="Asia"/>
    <s v="Red"/>
    <s v="Petrol"/>
    <s v="Manual"/>
    <n v="2.5"/>
    <n v="43742"/>
    <n v="32389"/>
    <n v="3911"/>
    <s v="Low"/>
  </r>
  <r>
    <x v="9"/>
    <n v="2021"/>
    <s v="October"/>
    <s v="Europe"/>
    <s v="Black"/>
    <s v="Electric"/>
    <s v="Manual"/>
    <n v="2.5"/>
    <n v="33894"/>
    <n v="25468"/>
    <n v="2714"/>
    <s v="High"/>
  </r>
  <r>
    <x v="10"/>
    <n v="2021"/>
    <s v="November"/>
    <s v="USA"/>
    <s v="Silver"/>
    <s v="Diesel"/>
    <s v="Manual"/>
    <n v="3"/>
    <n v="112209"/>
    <n v="23265"/>
    <n v="4684"/>
    <s v="High"/>
  </r>
  <r>
    <x v="0"/>
    <n v="2021"/>
    <s v="December"/>
    <s v="Europe"/>
    <s v="Silver"/>
    <s v="Hybrid"/>
    <s v="Manual"/>
    <n v="2.5"/>
    <n v="52441"/>
    <n v="20922"/>
    <n v="2725"/>
    <s v="Medium"/>
  </r>
  <r>
    <x v="1"/>
    <n v="2022"/>
    <s v="January"/>
    <s v="Europe"/>
    <s v="Black"/>
    <s v="Diesel"/>
    <s v="Manual"/>
    <n v="3"/>
    <n v="45597"/>
    <n v="15987"/>
    <n v="2462"/>
    <s v="Medium"/>
  </r>
  <r>
    <x v="2"/>
    <n v="2022"/>
    <s v="February"/>
    <s v="Europe"/>
    <s v="Blue"/>
    <s v="Hybrid"/>
    <s v="Manual"/>
    <n v="3"/>
    <n v="48473"/>
    <n v="39548"/>
    <n v="351"/>
    <s v="High"/>
  </r>
  <r>
    <x v="3"/>
    <n v="2022"/>
    <s v="March"/>
    <s v="Europe"/>
    <s v="Silver"/>
    <s v="Electric"/>
    <s v="Automatic"/>
    <n v="2.5"/>
    <n v="107323"/>
    <n v="32622"/>
    <n v="2787"/>
    <s v="Low"/>
  </r>
  <r>
    <x v="4"/>
    <n v="2022"/>
    <s v="April"/>
    <s v="USA"/>
    <s v="Black"/>
    <s v="Hybrid"/>
    <s v="Manual"/>
    <n v="2.5"/>
    <n v="60307"/>
    <n v="30797"/>
    <n v="4403"/>
    <s v="Medium"/>
  </r>
  <r>
    <x v="5"/>
    <n v="2022"/>
    <s v="May"/>
    <s v="Asia"/>
    <s v="Red"/>
    <s v="Petrol"/>
    <s v="Automatic"/>
    <n v="2"/>
    <n v="41159"/>
    <n v="19593"/>
    <n v="3490"/>
    <s v="Low"/>
  </r>
  <r>
    <x v="6"/>
    <n v="2022"/>
    <s v="June"/>
    <s v="USA"/>
    <s v="White"/>
    <s v="Electric"/>
    <s v="Automatic"/>
    <n v="2"/>
    <n v="47946"/>
    <n v="37956"/>
    <n v="1577"/>
    <s v="High"/>
  </r>
  <r>
    <x v="7"/>
    <n v="2022"/>
    <s v="July"/>
    <s v="Europe"/>
    <s v="Black"/>
    <s v="Diesel"/>
    <s v="Manual"/>
    <n v="2.5"/>
    <n v="87424"/>
    <n v="44531"/>
    <n v="4494"/>
    <s v="Low"/>
  </r>
  <r>
    <x v="8"/>
    <n v="2022"/>
    <s v="August"/>
    <s v="USA"/>
    <s v="Black"/>
    <s v="Diesel"/>
    <s v="Automatic"/>
    <n v="3"/>
    <n v="114980"/>
    <n v="19080"/>
    <n v="2744"/>
    <s v="Medium"/>
  </r>
  <r>
    <x v="9"/>
    <n v="2022"/>
    <s v="September"/>
    <s v="USA"/>
    <s v="Black"/>
    <s v="Hybrid"/>
    <s v="Automatic"/>
    <n v="3"/>
    <n v="29204"/>
    <n v="15978"/>
    <n v="3415"/>
    <s v="Medium"/>
  </r>
  <r>
    <x v="10"/>
    <n v="2022"/>
    <s v="October"/>
    <s v="Asia"/>
    <s v="Red"/>
    <s v="Electric"/>
    <s v="Automatic"/>
    <n v="3"/>
    <n v="106486"/>
    <n v="17407"/>
    <n v="4466"/>
    <s v="Medium"/>
  </r>
  <r>
    <x v="0"/>
    <n v="2022"/>
    <s v="November"/>
    <s v="Europe"/>
    <s v="White"/>
    <s v="Hybrid"/>
    <s v="Automatic"/>
    <n v="2"/>
    <n v="116536"/>
    <n v="32814"/>
    <n v="2191"/>
    <s v="Medium"/>
  </r>
  <r>
    <x v="1"/>
    <n v="2022"/>
    <s v="December"/>
    <s v="Asia"/>
    <s v="Red"/>
    <s v="Electric"/>
    <s v="Manual"/>
    <n v="2"/>
    <n v="46499"/>
    <n v="42659"/>
    <n v="1257"/>
    <s v="Medium"/>
  </r>
  <r>
    <x v="2"/>
    <n v="2023"/>
    <s v="January"/>
    <s v="Europe"/>
    <s v="Grey"/>
    <s v="Petrol"/>
    <s v="Automatic"/>
    <n v="2.5"/>
    <n v="58383"/>
    <n v="20405"/>
    <n v="2358"/>
    <s v="Low"/>
  </r>
  <r>
    <x v="3"/>
    <n v="2023"/>
    <s v="February"/>
    <s v="Europe"/>
    <s v="Silver"/>
    <s v="Diesel"/>
    <s v="Manual"/>
    <n v="3"/>
    <n v="29834"/>
    <n v="25459"/>
    <n v="4460"/>
    <s v="Medium"/>
  </r>
  <r>
    <x v="4"/>
    <n v="2023"/>
    <s v="March"/>
    <s v="Europe"/>
    <s v="Blue"/>
    <s v="Petrol"/>
    <s v="Automatic"/>
    <n v="2.5"/>
    <n v="62761"/>
    <n v="15418"/>
    <n v="2575"/>
    <s v="Low"/>
  </r>
  <r>
    <x v="5"/>
    <n v="2023"/>
    <s v="April"/>
    <s v="USA"/>
    <s v="Grey"/>
    <s v="Petrol"/>
    <s v="Manual"/>
    <n v="2.5"/>
    <n v="104305"/>
    <n v="38183"/>
    <n v="4746"/>
    <s v="High"/>
  </r>
  <r>
    <x v="6"/>
    <n v="2023"/>
    <s v="May"/>
    <s v="Europe"/>
    <s v="White"/>
    <s v="Electric"/>
    <s v="Manual"/>
    <n v="2"/>
    <n v="60324"/>
    <n v="28485"/>
    <n v="1908"/>
    <s v="Low"/>
  </r>
  <r>
    <x v="7"/>
    <n v="2023"/>
    <s v="June"/>
    <s v="Asia"/>
    <s v="Blue"/>
    <s v="Petrol"/>
    <s v="Manual"/>
    <n v="2.5"/>
    <n v="40352"/>
    <n v="33476"/>
    <n v="3562"/>
    <s v="High"/>
  </r>
  <r>
    <x v="8"/>
    <n v="2023"/>
    <s v="July"/>
    <s v="Asia"/>
    <s v="Black"/>
    <s v="Electric"/>
    <s v="Automatic"/>
    <n v="2.5"/>
    <n v="67700"/>
    <n v="15243"/>
    <n v="572"/>
    <s v="High"/>
  </r>
  <r>
    <x v="9"/>
    <n v="2023"/>
    <s v="August"/>
    <s v="Asia"/>
    <s v="Silver"/>
    <s v="Diesel"/>
    <s v="Manual"/>
    <n v="3"/>
    <n v="64847"/>
    <n v="44879"/>
    <n v="1686"/>
    <s v="Low"/>
  </r>
  <r>
    <x v="10"/>
    <n v="2023"/>
    <s v="September"/>
    <s v="USA"/>
    <s v="White"/>
    <s v="Diesel"/>
    <s v="Automatic"/>
    <n v="2.5"/>
    <n v="99561"/>
    <n v="43987"/>
    <n v="2943"/>
    <s v="Medium"/>
  </r>
  <r>
    <x v="0"/>
    <n v="2023"/>
    <s v="October"/>
    <s v="USA"/>
    <s v="Blue"/>
    <s v="Diesel"/>
    <s v="Manual"/>
    <n v="2"/>
    <n v="73748"/>
    <n v="29752"/>
    <n v="2522"/>
    <s v="Low"/>
  </r>
  <r>
    <x v="1"/>
    <n v="2023"/>
    <s v="November"/>
    <s v="USA"/>
    <s v="Silver"/>
    <s v="Diesel"/>
    <s v="Manual"/>
    <n v="2"/>
    <n v="106657"/>
    <n v="19456"/>
    <n v="2255"/>
    <s v="Medium"/>
  </r>
  <r>
    <x v="2"/>
    <n v="2023"/>
    <s v="December"/>
    <s v="USA"/>
    <s v="Silver"/>
    <s v="Petrol"/>
    <s v="Automatic"/>
    <n v="2.5"/>
    <n v="55700"/>
    <n v="20278"/>
    <n v="2640"/>
    <s v="Medium"/>
  </r>
  <r>
    <x v="3"/>
    <n v="2024"/>
    <s v="January"/>
    <s v="USA"/>
    <s v="Silver"/>
    <s v="Hybrid"/>
    <s v="Automatic"/>
    <n v="2.5"/>
    <n v="73104"/>
    <n v="16066"/>
    <n v="2287"/>
    <s v="Low"/>
  </r>
  <r>
    <x v="4"/>
    <n v="2024"/>
    <s v="February"/>
    <s v="Asia"/>
    <s v="Blue"/>
    <s v="Electric"/>
    <s v="Automatic"/>
    <n v="2.5"/>
    <n v="114492"/>
    <n v="15000"/>
    <n v="3968"/>
    <s v="Low"/>
  </r>
  <r>
    <x v="5"/>
    <n v="2024"/>
    <s v="March"/>
    <s v="Asia"/>
    <s v="Silver"/>
    <s v="Hybrid"/>
    <s v="Automatic"/>
    <n v="3"/>
    <n v="57733"/>
    <n v="26462"/>
    <n v="4678"/>
    <s v="Medium"/>
  </r>
  <r>
    <x v="6"/>
    <n v="2024"/>
    <s v="April"/>
    <s v="USA"/>
    <s v="Silver"/>
    <s v="Hybrid"/>
    <s v="Automatic"/>
    <n v="2.5"/>
    <n v="110912"/>
    <n v="39979"/>
    <n v="2829"/>
    <s v="Low"/>
  </r>
  <r>
    <x v="7"/>
    <n v="2024"/>
    <s v="May"/>
    <s v="Europe"/>
    <s v="White"/>
    <s v="Petrol"/>
    <s v="Manual"/>
    <n v="3"/>
    <n v="31655"/>
    <n v="25671"/>
    <n v="1140"/>
    <s v="High"/>
  </r>
  <r>
    <x v="8"/>
    <n v="2024"/>
    <s v="June"/>
    <s v="USA"/>
    <s v="Red"/>
    <s v="Electric"/>
    <s v="Automatic"/>
    <n v="3"/>
    <n v="119567"/>
    <n v="23690"/>
    <n v="917"/>
    <s v="Medium"/>
  </r>
  <r>
    <x v="9"/>
    <n v="2024"/>
    <s v="July"/>
    <s v="USA"/>
    <s v="Blue"/>
    <s v="Electric"/>
    <s v="Manual"/>
    <n v="2.5"/>
    <n v="26909"/>
    <n v="21454"/>
    <n v="494"/>
    <s v="High"/>
  </r>
  <r>
    <x v="10"/>
    <n v="2024"/>
    <s v="August"/>
    <s v="Asia"/>
    <s v="Grey"/>
    <s v="Petrol"/>
    <s v="Manual"/>
    <n v="2"/>
    <n v="31676"/>
    <n v="43736"/>
    <n v="713"/>
    <s v="Low"/>
  </r>
  <r>
    <x v="0"/>
    <n v="2024"/>
    <s v="September"/>
    <s v="Europe"/>
    <s v="Black"/>
    <s v="Diesel"/>
    <s v="Automatic"/>
    <n v="2"/>
    <n v="85185"/>
    <n v="17160"/>
    <n v="1590"/>
    <s v="High"/>
  </r>
  <r>
    <x v="1"/>
    <n v="2024"/>
    <s v="October"/>
    <s v="USA"/>
    <s v="Black"/>
    <s v="Electric"/>
    <s v="Automatic"/>
    <n v="3"/>
    <n v="52852"/>
    <n v="21828"/>
    <n v="3248"/>
    <s v="Low"/>
  </r>
  <r>
    <x v="2"/>
    <n v="2024"/>
    <s v="November"/>
    <s v="Asia"/>
    <s v="Blue"/>
    <s v="Diesel"/>
    <s v="Automatic"/>
    <n v="2"/>
    <n v="77388"/>
    <n v="21319"/>
    <n v="2097"/>
    <s v="High"/>
  </r>
  <r>
    <x v="3"/>
    <n v="2024"/>
    <s v="December"/>
    <s v="Asia"/>
    <s v="Silver"/>
    <s v="Petrol"/>
    <s v="Manual"/>
    <n v="2"/>
    <n v="38719"/>
    <n v="41774"/>
    <n v="413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357B02-16C0-42E4-AA71-62B730329C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3:AN4" firstHeaderRow="1" firstDataRow="1" firstDataCol="0"/>
  <pivotFields count="13">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dragToRow="0" dragToCol="0" dragToPage="0" showAll="0" defaultSubtotal="0"/>
  </pivotFields>
  <rowItems count="1">
    <i/>
  </rowItems>
  <colItems count="1">
    <i/>
  </colItems>
  <dataFields count="1">
    <dataField name="Avg Mileage" fld="8"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73CF7-B228-4747-A8DD-45E1B101B2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3:Y7" firstHeaderRow="1" firstDataRow="1" firstDataCol="1"/>
  <pivotFields count="13">
    <pivotField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1"/>
        <item x="2"/>
        <item h="1" x="0"/>
        <item t="default"/>
      </items>
    </pivotField>
    <pivotField dragToRow="0" dragToCol="0" dragToPage="0" showAll="0" defaultSubtotal="0"/>
  </pivotFields>
  <rowFields count="1">
    <field x="7"/>
  </rowFields>
  <rowItems count="4">
    <i>
      <x v="2"/>
    </i>
    <i>
      <x/>
    </i>
    <i>
      <x v="1"/>
    </i>
    <i t="grand">
      <x/>
    </i>
  </rowItems>
  <colItems count="1">
    <i/>
  </colItems>
  <dataFields count="1">
    <dataField name="Sum of Units_Sold" fld="10" baseField="0" baseItem="0"/>
  </dataFields>
  <formats count="1">
    <format dxfId="0">
      <pivotArea collapsedLevelsAreSubtotals="1" fieldPosition="0">
        <references count="1">
          <reference field="7" count="0"/>
        </references>
      </pivotArea>
    </format>
  </formats>
  <chartFormats count="2">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E2A6C7-5BB6-4678-8903-F89CCF5CDDB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E3:AI9" firstHeaderRow="1" firstDataRow="2" firstDataCol="1"/>
  <pivotFields count="13">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Row" showAll="0">
      <items count="5">
        <item x="3"/>
        <item x="2"/>
        <item x="0"/>
        <item x="1"/>
        <item t="default"/>
      </items>
    </pivotField>
    <pivotField showAll="0"/>
    <pivotField showAll="0" sortType="descending">
      <items count="4">
        <item x="2"/>
        <item x="0"/>
        <item x="1"/>
        <item t="default"/>
      </items>
    </pivotField>
    <pivotField showAll="0">
      <items count="181">
        <item x="139"/>
        <item x="80"/>
        <item x="43"/>
        <item x="174"/>
        <item x="120"/>
        <item x="152"/>
        <item x="157"/>
        <item x="59"/>
        <item x="13"/>
        <item x="172"/>
        <item x="175"/>
        <item x="136"/>
        <item x="93"/>
        <item x="87"/>
        <item x="134"/>
        <item x="107"/>
        <item x="78"/>
        <item x="141"/>
        <item x="37"/>
        <item x="62"/>
        <item x="26"/>
        <item x="84"/>
        <item x="103"/>
        <item x="73"/>
        <item x="5"/>
        <item x="179"/>
        <item x="72"/>
        <item x="161"/>
        <item x="14"/>
        <item x="100"/>
        <item x="148"/>
        <item x="112"/>
        <item x="95"/>
        <item x="63"/>
        <item x="89"/>
        <item x="17"/>
        <item x="140"/>
        <item x="29"/>
        <item x="144"/>
        <item x="36"/>
        <item x="71"/>
        <item x="41"/>
        <item x="86"/>
        <item x="31"/>
        <item x="155"/>
        <item x="121"/>
        <item x="149"/>
        <item x="145"/>
        <item x="3"/>
        <item x="34"/>
        <item x="53"/>
        <item x="82"/>
        <item x="22"/>
        <item x="114"/>
        <item x="143"/>
        <item x="116"/>
        <item x="177"/>
        <item x="108"/>
        <item x="16"/>
        <item x="65"/>
        <item x="167"/>
        <item x="94"/>
        <item x="19"/>
        <item x="47"/>
        <item x="83"/>
        <item x="52"/>
        <item x="170"/>
        <item x="156"/>
        <item x="7"/>
        <item x="110"/>
        <item x="32"/>
        <item x="126"/>
        <item x="38"/>
        <item x="20"/>
        <item x="147"/>
        <item x="160"/>
        <item x="96"/>
        <item x="88"/>
        <item x="23"/>
        <item x="79"/>
        <item x="158"/>
        <item x="74"/>
        <item x="48"/>
        <item x="163"/>
        <item x="70"/>
        <item x="11"/>
        <item x="81"/>
        <item x="33"/>
        <item x="25"/>
        <item x="123"/>
        <item x="162"/>
        <item x="18"/>
        <item x="98"/>
        <item x="39"/>
        <item x="56"/>
        <item x="128"/>
        <item x="64"/>
        <item x="85"/>
        <item x="168"/>
        <item x="165"/>
        <item x="54"/>
        <item x="12"/>
        <item x="106"/>
        <item x="102"/>
        <item x="132"/>
        <item x="119"/>
        <item x="115"/>
        <item x="178"/>
        <item x="125"/>
        <item x="67"/>
        <item x="122"/>
        <item x="124"/>
        <item x="42"/>
        <item x="61"/>
        <item x="66"/>
        <item x="111"/>
        <item x="99"/>
        <item x="60"/>
        <item x="176"/>
        <item x="9"/>
        <item x="24"/>
        <item x="27"/>
        <item x="150"/>
        <item x="51"/>
        <item x="129"/>
        <item x="75"/>
        <item x="90"/>
        <item x="135"/>
        <item x="6"/>
        <item x="109"/>
        <item x="46"/>
        <item x="76"/>
        <item x="117"/>
        <item x="50"/>
        <item x="118"/>
        <item x="77"/>
        <item x="131"/>
        <item x="49"/>
        <item x="45"/>
        <item x="69"/>
        <item x="4"/>
        <item x="113"/>
        <item x="10"/>
        <item x="28"/>
        <item x="105"/>
        <item x="68"/>
        <item x="101"/>
        <item x="164"/>
        <item x="130"/>
        <item x="8"/>
        <item x="97"/>
        <item x="55"/>
        <item x="91"/>
        <item x="104"/>
        <item x="0"/>
        <item x="40"/>
        <item x="159"/>
        <item x="21"/>
        <item x="1"/>
        <item x="58"/>
        <item x="137"/>
        <item x="153"/>
        <item x="166"/>
        <item x="30"/>
        <item x="92"/>
        <item x="146"/>
        <item x="15"/>
        <item x="2"/>
        <item x="171"/>
        <item x="142"/>
        <item x="35"/>
        <item x="44"/>
        <item x="138"/>
        <item x="169"/>
        <item x="151"/>
        <item x="154"/>
        <item x="57"/>
        <item x="127"/>
        <item x="173"/>
        <item x="133"/>
        <item t="default"/>
      </items>
    </pivotField>
    <pivotField showAll="0"/>
    <pivotField showAll="0"/>
    <pivotField axis="axisCol" dataField="1" showAll="0">
      <items count="4">
        <item x="1"/>
        <item x="2"/>
        <item x="0"/>
        <item t="default"/>
      </items>
    </pivotField>
    <pivotField dragToRow="0" dragToCol="0" dragToPage="0" showAll="0" defaultSubtotal="0"/>
  </pivotFields>
  <rowFields count="1">
    <field x="5"/>
  </rowFields>
  <rowItems count="5">
    <i>
      <x/>
    </i>
    <i>
      <x v="1"/>
    </i>
    <i>
      <x v="2"/>
    </i>
    <i>
      <x v="3"/>
    </i>
    <i t="grand">
      <x/>
    </i>
  </rowItems>
  <colFields count="1">
    <field x="11"/>
  </colFields>
  <colItems count="4">
    <i>
      <x/>
    </i>
    <i>
      <x v="1"/>
    </i>
    <i>
      <x v="2"/>
    </i>
    <i t="grand">
      <x/>
    </i>
  </colItems>
  <dataFields count="1">
    <dataField name="Count of Sales_Classification" fld="11" subtotal="count" baseField="5" baseItem="3"/>
  </dataFields>
  <chartFormats count="8">
    <chartFormat chart="7" format="27"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 chart="7" format="28" series="1">
      <pivotArea type="data" outline="0" fieldPosition="0">
        <references count="2">
          <reference field="4294967294" count="1" selected="0">
            <x v="0"/>
          </reference>
          <reference field="11" count="1" selected="0">
            <x v="1"/>
          </reference>
        </references>
      </pivotArea>
    </chartFormat>
    <chartFormat chart="7" format="29" series="1">
      <pivotArea type="data" outline="0" fieldPosition="0">
        <references count="2">
          <reference field="4294967294" count="1" selected="0">
            <x v="0"/>
          </reference>
          <reference field="11" count="1" selected="0">
            <x v="2"/>
          </reference>
        </references>
      </pivotArea>
    </chartFormat>
    <chartFormat chart="7" format="30" series="1">
      <pivotArea type="data" outline="0" fieldPosition="0">
        <references count="2">
          <reference field="4294967294" count="1" selected="0">
            <x v="0"/>
          </reference>
          <reference field="11" count="1" selected="0">
            <x v="0"/>
          </reference>
        </references>
      </pivotArea>
    </chartFormat>
    <chartFormat chart="0" format="18" series="1">
      <pivotArea type="data" outline="0" fieldPosition="0">
        <references count="2">
          <reference field="4294967294" count="1" selected="0">
            <x v="0"/>
          </reference>
          <reference field="11" count="1" selected="0">
            <x v="1"/>
          </reference>
        </references>
      </pivotArea>
    </chartFormat>
    <chartFormat chart="0" format="19" series="1">
      <pivotArea type="data" outline="0" fieldPosition="0">
        <references count="2">
          <reference field="4294967294" count="1" selected="0">
            <x v="0"/>
          </reference>
          <reference field="11" count="1" selected="0">
            <x v="2"/>
          </reference>
        </references>
      </pivotArea>
    </chartFormat>
    <chartFormat chart="0" format="20"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A0A11-64D8-4EA1-9A4B-235745B534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3:AL4" firstHeaderRow="1" firstDataRow="1" firstDataCol="0"/>
  <pivotFields count="13">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dataField="1" showAll="0"/>
    <pivotField showAll="0"/>
    <pivotField showAll="0"/>
    <pivotField showAll="0"/>
    <pivotField showAll="0">
      <items count="4">
        <item x="1"/>
        <item x="2"/>
        <item x="0"/>
        <item t="default"/>
      </items>
    </pivotField>
    <pivotField dragToRow="0" dragToCol="0" dragToPage="0" showAll="0" defaultSubtotal="0"/>
  </pivotFields>
  <rowItems count="1">
    <i/>
  </rowItems>
  <colItems count="1">
    <i/>
  </colItems>
  <dataFields count="1">
    <dataField name="Avg Engine Size" fld="7"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47FF39-B121-4D3C-AD88-C8F22D4936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3:AT20" firstHeaderRow="1" firstDataRow="1" firstDataCol="0"/>
  <pivotFields count="13">
    <pivotField showAll="0"/>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F1F03-D6AE-44A9-9D7A-CFD7BBDC62D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P3:AQ15" firstHeaderRow="1" firstDataRow="1" firstDataCol="1"/>
  <pivotFields count="13">
    <pivotField axis="axisRow" showAll="0" sortType="ascending">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s>
  <rowFields count="1">
    <field x="0"/>
  </rowFields>
  <rowItems count="12">
    <i>
      <x/>
    </i>
    <i>
      <x v="1"/>
    </i>
    <i>
      <x v="2"/>
    </i>
    <i>
      <x v="3"/>
    </i>
    <i>
      <x v="4"/>
    </i>
    <i>
      <x v="5"/>
    </i>
    <i>
      <x v="6"/>
    </i>
    <i>
      <x v="7"/>
    </i>
    <i>
      <x v="8"/>
    </i>
    <i>
      <x v="9"/>
    </i>
    <i>
      <x v="10"/>
    </i>
    <i t="grand">
      <x/>
    </i>
  </rowItems>
  <colItems count="1">
    <i/>
  </colItems>
  <dataFields count="1">
    <dataField name="Sum of Units_Sold" fld="10"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7017DD-0596-44EB-87A9-E45E1AF827B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3:AW15" firstHeaderRow="1" firstDataRow="1" firstDataCol="1"/>
  <pivotFields count="12">
    <pivotField axis="axisRow" showAll="0" sortType="descending">
      <items count="12">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Min of Units_Sold" fld="10"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2F689B-920F-4B0E-860E-2C4EBED7E1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3:V20" firstHeaderRow="1" firstDataRow="2" firstDataCol="1"/>
  <pivotFields count="13">
    <pivotField showAll="0">
      <items count="12">
        <item x="0"/>
        <item x="1"/>
        <item x="2"/>
        <item x="3"/>
        <item x="4"/>
        <item x="5"/>
        <item x="6"/>
        <item x="7"/>
        <item x="8"/>
        <item x="9"/>
        <item x="10"/>
        <item t="default"/>
      </items>
    </pivotField>
    <pivotField axis="axisRow" showAll="0">
      <items count="16">
        <item x="0"/>
        <item x="1"/>
        <item x="2"/>
        <item x="3"/>
        <item x="4"/>
        <item x="5"/>
        <item x="6"/>
        <item x="7"/>
        <item x="8"/>
        <item x="9"/>
        <item x="10"/>
        <item x="11"/>
        <item x="12"/>
        <item x="13"/>
        <item x="14"/>
        <item t="default"/>
      </items>
    </pivotField>
    <pivotField showAll="0">
      <items count="13">
        <item x="0"/>
        <item x="1"/>
        <item x="2"/>
        <item x="3"/>
        <item x="4"/>
        <item x="5"/>
        <item x="6"/>
        <item x="7"/>
        <item x="8"/>
        <item x="9"/>
        <item x="10"/>
        <item x="11"/>
        <item t="default"/>
      </items>
    </pivotField>
    <pivotField showAll="0" sortType="descending">
      <items count="4">
        <item x="0"/>
        <item x="2"/>
        <item x="1"/>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5">
        <item h="1" x="3"/>
        <item x="2"/>
        <item x="0"/>
        <item h="1" x="1"/>
        <item t="default"/>
      </items>
    </pivotField>
    <pivotField axis="axisCol" showAll="0">
      <items count="3">
        <item x="1"/>
        <item x="0"/>
        <item t="default"/>
      </items>
    </pivotField>
    <pivotField showAll="0"/>
    <pivotField showAll="0"/>
    <pivotField showAll="0"/>
    <pivotField dataField="1" showAll="0"/>
    <pivotField showAll="0">
      <items count="4">
        <item x="1"/>
        <item x="2"/>
        <item x="0"/>
        <item t="default"/>
      </items>
    </pivotField>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6"/>
  </colFields>
  <colItems count="3">
    <i>
      <x/>
    </i>
    <i>
      <x v="1"/>
    </i>
    <i t="grand">
      <x/>
    </i>
  </colItems>
  <dataFields count="1">
    <dataField name="Sum of Units_Sold" fld="10" baseField="0" baseItem="0"/>
  </dataFields>
  <formats count="1">
    <format dxfId="13">
      <pivotArea collapsedLevelsAreSubtotals="1" fieldPosition="0">
        <references count="2">
          <reference field="1" count="0"/>
          <reference field="6" count="0" selected="0"/>
        </references>
      </pivotArea>
    </format>
  </formats>
  <chartFormats count="24">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3">
          <reference field="4294967294" count="1" selected="0">
            <x v="0"/>
          </reference>
          <reference field="1" count="1" selected="0">
            <x v="4"/>
          </reference>
          <reference field="6" count="1" selected="0">
            <x v="1"/>
          </reference>
        </references>
      </pivotArea>
    </chartFormat>
    <chartFormat chart="2" format="5">
      <pivotArea type="data" outline="0" fieldPosition="0">
        <references count="3">
          <reference field="4294967294" count="1" selected="0">
            <x v="0"/>
          </reference>
          <reference field="1" count="1" selected="0">
            <x v="7"/>
          </reference>
          <reference field="6" count="1" selected="0">
            <x v="1"/>
          </reference>
        </references>
      </pivotArea>
    </chartFormat>
    <chartFormat chart="2" format="6">
      <pivotArea type="data" outline="0" fieldPosition="0">
        <references count="3">
          <reference field="4294967294" count="1" selected="0">
            <x v="0"/>
          </reference>
          <reference field="1" count="1" selected="0">
            <x v="9"/>
          </reference>
          <reference field="6" count="1" selected="0">
            <x v="0"/>
          </reference>
        </references>
      </pivotArea>
    </chartFormat>
    <chartFormat chart="2" format="7">
      <pivotArea type="data" outline="0" fieldPosition="0">
        <references count="3">
          <reference field="4294967294" count="1" selected="0">
            <x v="0"/>
          </reference>
          <reference field="1" count="1" selected="0">
            <x v="12"/>
          </reference>
          <reference field="6" count="1" selected="0">
            <x v="0"/>
          </reference>
        </references>
      </pivotArea>
    </chartFormat>
    <chartFormat chart="2" format="8">
      <pivotArea type="data" outline="0" fieldPosition="0">
        <references count="3">
          <reference field="4294967294" count="1" selected="0">
            <x v="0"/>
          </reference>
          <reference field="1" count="1" selected="0">
            <x v="8"/>
          </reference>
          <reference field="6" count="1" selected="0">
            <x v="1"/>
          </reference>
        </references>
      </pivotArea>
    </chartFormat>
    <chartFormat chart="5" format="16" series="1">
      <pivotArea type="data" outline="0" fieldPosition="0">
        <references count="2">
          <reference field="4294967294" count="1" selected="0">
            <x v="0"/>
          </reference>
          <reference field="6" count="1" selected="0">
            <x v="0"/>
          </reference>
        </references>
      </pivotArea>
    </chartFormat>
    <chartFormat chart="5" format="17">
      <pivotArea type="data" outline="0" fieldPosition="0">
        <references count="3">
          <reference field="4294967294" count="1" selected="0">
            <x v="0"/>
          </reference>
          <reference field="1" count="1" selected="0">
            <x v="9"/>
          </reference>
          <reference field="6" count="1" selected="0">
            <x v="0"/>
          </reference>
        </references>
      </pivotArea>
    </chartFormat>
    <chartFormat chart="5" format="18">
      <pivotArea type="data" outline="0" fieldPosition="0">
        <references count="3">
          <reference field="4294967294" count="1" selected="0">
            <x v="0"/>
          </reference>
          <reference field="1" count="1" selected="0">
            <x v="12"/>
          </reference>
          <reference field="6" count="1" selected="0">
            <x v="0"/>
          </reference>
        </references>
      </pivotArea>
    </chartFormat>
    <chartFormat chart="5" format="19" series="1">
      <pivotArea type="data" outline="0" fieldPosition="0">
        <references count="2">
          <reference field="4294967294" count="1" selected="0">
            <x v="0"/>
          </reference>
          <reference field="6" count="1" selected="0">
            <x v="1"/>
          </reference>
        </references>
      </pivotArea>
    </chartFormat>
    <chartFormat chart="5" format="20">
      <pivotArea type="data" outline="0" fieldPosition="0">
        <references count="3">
          <reference field="4294967294" count="1" selected="0">
            <x v="0"/>
          </reference>
          <reference field="1" count="1" selected="0">
            <x v="4"/>
          </reference>
          <reference field="6" count="1" selected="0">
            <x v="1"/>
          </reference>
        </references>
      </pivotArea>
    </chartFormat>
    <chartFormat chart="5" format="21">
      <pivotArea type="data" outline="0" fieldPosition="0">
        <references count="3">
          <reference field="4294967294" count="1" selected="0">
            <x v="0"/>
          </reference>
          <reference field="1" count="1" selected="0">
            <x v="7"/>
          </reference>
          <reference field="6" count="1" selected="0">
            <x v="1"/>
          </reference>
        </references>
      </pivotArea>
    </chartFormat>
    <chartFormat chart="5" format="22">
      <pivotArea type="data" outline="0" fieldPosition="0">
        <references count="3">
          <reference field="4294967294" count="1" selected="0">
            <x v="0"/>
          </reference>
          <reference field="1" count="1" selected="0">
            <x v="8"/>
          </reference>
          <reference field="6" count="1" selected="0">
            <x v="1"/>
          </reference>
        </references>
      </pivotArea>
    </chartFormat>
    <chartFormat chart="5" format="23">
      <pivotArea type="data" outline="0" fieldPosition="0">
        <references count="3">
          <reference field="4294967294" count="1" selected="0">
            <x v="0"/>
          </reference>
          <reference field="1" count="1" selected="0">
            <x v="12"/>
          </reference>
          <reference field="6" count="1" selected="0">
            <x v="1"/>
          </reference>
        </references>
      </pivotArea>
    </chartFormat>
    <chartFormat chart="5" format="24">
      <pivotArea type="data" outline="0" fieldPosition="0">
        <references count="3">
          <reference field="4294967294" count="1" selected="0">
            <x v="0"/>
          </reference>
          <reference field="1" count="1" selected="0">
            <x v="13"/>
          </reference>
          <reference field="6" count="1" selected="0">
            <x v="0"/>
          </reference>
        </references>
      </pivotArea>
    </chartFormat>
    <chartFormat chart="5" format="25">
      <pivotArea type="data" outline="0" fieldPosition="0">
        <references count="3">
          <reference field="4294967294" count="1" selected="0">
            <x v="0"/>
          </reference>
          <reference field="1" count="1" selected="0">
            <x v="11"/>
          </reference>
          <reference field="6" count="1" selected="0">
            <x v="0"/>
          </reference>
        </references>
      </pivotArea>
    </chartFormat>
    <chartFormat chart="5" format="26">
      <pivotArea type="data" outline="0" fieldPosition="0">
        <references count="3">
          <reference field="4294967294" count="1" selected="0">
            <x v="0"/>
          </reference>
          <reference field="1" count="1" selected="0">
            <x v="10"/>
          </reference>
          <reference field="6" count="1" selected="0">
            <x v="1"/>
          </reference>
        </references>
      </pivotArea>
    </chartFormat>
    <chartFormat chart="5" format="27">
      <pivotArea type="data" outline="0" fieldPosition="0">
        <references count="3">
          <reference field="4294967294" count="1" selected="0">
            <x v="0"/>
          </reference>
          <reference field="1" count="1" selected="0">
            <x v="4"/>
          </reference>
          <reference field="6" count="1" selected="0">
            <x v="0"/>
          </reference>
        </references>
      </pivotArea>
    </chartFormat>
    <chartFormat chart="5" format="28">
      <pivotArea type="data" outline="0" fieldPosition="0">
        <references count="3">
          <reference field="4294967294" count="1" selected="0">
            <x v="0"/>
          </reference>
          <reference field="1" count="1" selected="0">
            <x v="3"/>
          </reference>
          <reference field="6" count="1" selected="0">
            <x v="0"/>
          </reference>
        </references>
      </pivotArea>
    </chartFormat>
    <chartFormat chart="5" format="29">
      <pivotArea type="data" outline="0" fieldPosition="0">
        <references count="3">
          <reference field="4294967294" count="1" selected="0">
            <x v="0"/>
          </reference>
          <reference field="1" count="1" selected="0">
            <x v="5"/>
          </reference>
          <reference field="6" count="1" selected="0">
            <x v="0"/>
          </reference>
        </references>
      </pivotArea>
    </chartFormat>
    <chartFormat chart="5" format="30">
      <pivotArea type="data" outline="0" fieldPosition="0">
        <references count="3">
          <reference field="4294967294" count="1" selected="0">
            <x v="0"/>
          </reference>
          <reference field="1" count="1" selected="0">
            <x v="3"/>
          </reference>
          <reference field="6" count="1" selected="0">
            <x v="1"/>
          </reference>
        </references>
      </pivotArea>
    </chartFormat>
    <chartFormat chart="5" format="31">
      <pivotArea type="data" outline="0" fieldPosition="0">
        <references count="3">
          <reference field="4294967294" count="1" selected="0">
            <x v="0"/>
          </reference>
          <reference field="1" count="1" selected="0">
            <x v="14"/>
          </reference>
          <reference field="6" count="1" selected="0">
            <x v="1"/>
          </reference>
        </references>
      </pivotArea>
    </chartFormat>
    <chartFormat chart="5" format="32">
      <pivotArea type="data" outline="0" fieldPosition="0">
        <references count="3">
          <reference field="4294967294" count="1" selected="0">
            <x v="0"/>
          </reference>
          <reference field="1"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43DD18-B407-4F18-A773-E2F8A1B6BEFE}" name="PivotTable2" cacheId="0" applyNumberFormats="0" applyBorderFormats="0" applyFontFormats="0" applyPatternFormats="0" applyAlignmentFormats="0" applyWidthHeightFormats="1" dataCaption="Values" missingCaption="2416" updatedVersion="8" minRefreshableVersion="3" useAutoFormatting="1" itemPrintTitles="1" createdVersion="8" indent="0" outline="1" outlineData="1" multipleFieldFilters="0" chartFormat="28">
  <location ref="H3:M20" firstHeaderRow="1" firstDataRow="2" firstDataCol="1"/>
  <pivotFields count="13">
    <pivotField showAll="0">
      <items count="12">
        <item x="0"/>
        <item x="1"/>
        <item x="2"/>
        <item x="3"/>
        <item x="4"/>
        <item x="5"/>
        <item x="6"/>
        <item x="7"/>
        <item x="8"/>
        <item x="9"/>
        <item x="10"/>
        <item t="default"/>
      </items>
    </pivotField>
    <pivotField axis="axisRow" showAll="0">
      <items count="16">
        <item x="0"/>
        <item x="1"/>
        <item x="2"/>
        <item x="3"/>
        <item x="4"/>
        <item x="5"/>
        <item x="6"/>
        <item x="7"/>
        <item x="8"/>
        <item x="9"/>
        <item x="10"/>
        <item x="11"/>
        <item x="12"/>
        <item x="13"/>
        <item x="14"/>
        <item t="default"/>
      </items>
    </pivotField>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Col" showAll="0">
      <items count="5">
        <item x="3"/>
        <item x="2"/>
        <item x="0"/>
        <item x="1"/>
        <item t="default"/>
      </items>
    </pivotField>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dataFields count="1">
    <dataField name="Average of Units_Sold" fld="10" subtotal="average" baseField="0" baseItem="0" numFmtId="1"/>
  </dataFields>
  <chartFormats count="126">
    <chartFormat chart="4" format="20" series="1">
      <pivotArea type="data" outline="0" fieldPosition="0">
        <references count="2">
          <reference field="4294967294" count="1" selected="0">
            <x v="0"/>
          </reference>
          <reference field="5" count="1" selected="0">
            <x v="0"/>
          </reference>
        </references>
      </pivotArea>
    </chartFormat>
    <chartFormat chart="4" format="21">
      <pivotArea type="data" outline="0" fieldPosition="0">
        <references count="3">
          <reference field="4294967294" count="1" selected="0">
            <x v="0"/>
          </reference>
          <reference field="1" count="1" selected="0">
            <x v="0"/>
          </reference>
          <reference field="5" count="1" selected="0">
            <x v="0"/>
          </reference>
        </references>
      </pivotArea>
    </chartFormat>
    <chartFormat chart="4" format="22">
      <pivotArea type="data" outline="0" fieldPosition="0">
        <references count="3">
          <reference field="4294967294" count="1" selected="0">
            <x v="0"/>
          </reference>
          <reference field="1" count="1" selected="0">
            <x v="10"/>
          </reference>
          <reference field="5" count="1" selected="0">
            <x v="0"/>
          </reference>
        </references>
      </pivotArea>
    </chartFormat>
    <chartFormat chart="4" format="23">
      <pivotArea type="data" outline="0" fieldPosition="0">
        <references count="3">
          <reference field="4294967294" count="1" selected="0">
            <x v="0"/>
          </reference>
          <reference field="1" count="1" selected="0">
            <x v="14"/>
          </reference>
          <reference field="5" count="1" selected="0">
            <x v="0"/>
          </reference>
        </references>
      </pivotArea>
    </chartFormat>
    <chartFormat chart="4" format="24" series="1">
      <pivotArea type="data" outline="0" fieldPosition="0">
        <references count="2">
          <reference field="4294967294" count="1" selected="0">
            <x v="0"/>
          </reference>
          <reference field="5" count="1" selected="0">
            <x v="1"/>
          </reference>
        </references>
      </pivotArea>
    </chartFormat>
    <chartFormat chart="4" format="25">
      <pivotArea type="data" outline="0" fieldPosition="0">
        <references count="3">
          <reference field="4294967294" count="1" selected="0">
            <x v="0"/>
          </reference>
          <reference field="1" count="1" selected="0">
            <x v="0"/>
          </reference>
          <reference field="5" count="1" selected="0">
            <x v="1"/>
          </reference>
        </references>
      </pivotArea>
    </chartFormat>
    <chartFormat chart="4" format="26">
      <pivotArea type="data" outline="0" fieldPosition="0">
        <references count="3">
          <reference field="4294967294" count="1" selected="0">
            <x v="0"/>
          </reference>
          <reference field="1" count="1" selected="0">
            <x v="7"/>
          </reference>
          <reference field="5" count="1" selected="0">
            <x v="1"/>
          </reference>
        </references>
      </pivotArea>
    </chartFormat>
    <chartFormat chart="4" format="27">
      <pivotArea type="data" outline="0" fieldPosition="0">
        <references count="3">
          <reference field="4294967294" count="1" selected="0">
            <x v="0"/>
          </reference>
          <reference field="1" count="1" selected="0">
            <x v="10"/>
          </reference>
          <reference field="5" count="1" selected="0">
            <x v="1"/>
          </reference>
        </references>
      </pivotArea>
    </chartFormat>
    <chartFormat chart="4" format="28" series="1">
      <pivotArea type="data" outline="0" fieldPosition="0">
        <references count="2">
          <reference field="4294967294" count="1" selected="0">
            <x v="0"/>
          </reference>
          <reference field="5" count="1" selected="0">
            <x v="2"/>
          </reference>
        </references>
      </pivotArea>
    </chartFormat>
    <chartFormat chart="4" format="29" series="1">
      <pivotArea type="data" outline="0" fieldPosition="0">
        <references count="2">
          <reference field="4294967294" count="1" selected="0">
            <x v="0"/>
          </reference>
          <reference field="5" count="1" selected="0">
            <x v="3"/>
          </reference>
        </references>
      </pivotArea>
    </chartFormat>
    <chartFormat chart="4" format="30">
      <pivotArea type="data" outline="0" fieldPosition="0">
        <references count="3">
          <reference field="4294967294" count="1" selected="0">
            <x v="0"/>
          </reference>
          <reference field="1" count="1" selected="0">
            <x v="2"/>
          </reference>
          <reference field="5" count="1" selected="0">
            <x v="1"/>
          </reference>
        </references>
      </pivotArea>
    </chartFormat>
    <chartFormat chart="4" format="31">
      <pivotArea type="data" outline="0" fieldPosition="0">
        <references count="3">
          <reference field="4294967294" count="1" selected="0">
            <x v="0"/>
          </reference>
          <reference field="1" count="1" selected="0">
            <x v="7"/>
          </reference>
          <reference field="5" count="1" selected="0">
            <x v="2"/>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10" format="44" series="1">
      <pivotArea type="data" outline="0" fieldPosition="0">
        <references count="2">
          <reference field="4294967294" count="1" selected="0">
            <x v="0"/>
          </reference>
          <reference field="5" count="1" selected="0">
            <x v="0"/>
          </reference>
        </references>
      </pivotArea>
    </chartFormat>
    <chartFormat chart="10" format="45">
      <pivotArea type="data" outline="0" fieldPosition="0">
        <references count="3">
          <reference field="4294967294" count="1" selected="0">
            <x v="0"/>
          </reference>
          <reference field="1" count="1" selected="0">
            <x v="0"/>
          </reference>
          <reference field="5" count="1" selected="0">
            <x v="0"/>
          </reference>
        </references>
      </pivotArea>
    </chartFormat>
    <chartFormat chart="10" format="46">
      <pivotArea type="data" outline="0" fieldPosition="0">
        <references count="3">
          <reference field="4294967294" count="1" selected="0">
            <x v="0"/>
          </reference>
          <reference field="1" count="1" selected="0">
            <x v="10"/>
          </reference>
          <reference field="5" count="1" selected="0">
            <x v="0"/>
          </reference>
        </references>
      </pivotArea>
    </chartFormat>
    <chartFormat chart="10" format="47">
      <pivotArea type="data" outline="0" fieldPosition="0">
        <references count="3">
          <reference field="4294967294" count="1" selected="0">
            <x v="0"/>
          </reference>
          <reference field="1" count="1" selected="0">
            <x v="14"/>
          </reference>
          <reference field="5" count="1" selected="0">
            <x v="0"/>
          </reference>
        </references>
      </pivotArea>
    </chartFormat>
    <chartFormat chart="10" format="48" series="1">
      <pivotArea type="data" outline="0" fieldPosition="0">
        <references count="2">
          <reference field="4294967294" count="1" selected="0">
            <x v="0"/>
          </reference>
          <reference field="5" count="1" selected="0">
            <x v="1"/>
          </reference>
        </references>
      </pivotArea>
    </chartFormat>
    <chartFormat chart="10" format="49">
      <pivotArea type="data" outline="0" fieldPosition="0">
        <references count="3">
          <reference field="4294967294" count="1" selected="0">
            <x v="0"/>
          </reference>
          <reference field="1" count="1" selected="0">
            <x v="0"/>
          </reference>
          <reference field="5" count="1" selected="0">
            <x v="1"/>
          </reference>
        </references>
      </pivotArea>
    </chartFormat>
    <chartFormat chart="10" format="50">
      <pivotArea type="data" outline="0" fieldPosition="0">
        <references count="3">
          <reference field="4294967294" count="1" selected="0">
            <x v="0"/>
          </reference>
          <reference field="1" count="1" selected="0">
            <x v="2"/>
          </reference>
          <reference field="5" count="1" selected="0">
            <x v="1"/>
          </reference>
        </references>
      </pivotArea>
    </chartFormat>
    <chartFormat chart="10" format="51">
      <pivotArea type="data" outline="0" fieldPosition="0">
        <references count="3">
          <reference field="4294967294" count="1" selected="0">
            <x v="0"/>
          </reference>
          <reference field="1" count="1" selected="0">
            <x v="7"/>
          </reference>
          <reference field="5" count="1" selected="0">
            <x v="1"/>
          </reference>
        </references>
      </pivotArea>
    </chartFormat>
    <chartFormat chart="10" format="52">
      <pivotArea type="data" outline="0" fieldPosition="0">
        <references count="3">
          <reference field="4294967294" count="1" selected="0">
            <x v="0"/>
          </reference>
          <reference field="1" count="1" selected="0">
            <x v="10"/>
          </reference>
          <reference field="5" count="1" selected="0">
            <x v="1"/>
          </reference>
        </references>
      </pivotArea>
    </chartFormat>
    <chartFormat chart="10" format="53" series="1">
      <pivotArea type="data" outline="0" fieldPosition="0">
        <references count="2">
          <reference field="4294967294" count="1" selected="0">
            <x v="0"/>
          </reference>
          <reference field="5" count="1" selected="0">
            <x v="2"/>
          </reference>
        </references>
      </pivotArea>
    </chartFormat>
    <chartFormat chart="10" format="54">
      <pivotArea type="data" outline="0" fieldPosition="0">
        <references count="3">
          <reference field="4294967294" count="1" selected="0">
            <x v="0"/>
          </reference>
          <reference field="1" count="1" selected="0">
            <x v="7"/>
          </reference>
          <reference field="5" count="1" selected="0">
            <x v="2"/>
          </reference>
        </references>
      </pivotArea>
    </chartFormat>
    <chartFormat chart="10" format="55" series="1">
      <pivotArea type="data" outline="0" fieldPosition="0">
        <references count="2">
          <reference field="4294967294" count="1" selected="0">
            <x v="0"/>
          </reference>
          <reference field="5" count="1" selected="0">
            <x v="3"/>
          </reference>
        </references>
      </pivotArea>
    </chartFormat>
    <chartFormat chart="12" format="68" series="1">
      <pivotArea type="data" outline="0" fieldPosition="0">
        <references count="2">
          <reference field="4294967294" count="1" selected="0">
            <x v="0"/>
          </reference>
          <reference field="5" count="1" selected="0">
            <x v="0"/>
          </reference>
        </references>
      </pivotArea>
    </chartFormat>
    <chartFormat chart="12" format="69">
      <pivotArea type="data" outline="0" fieldPosition="0">
        <references count="3">
          <reference field="4294967294" count="1" selected="0">
            <x v="0"/>
          </reference>
          <reference field="1" count="1" selected="0">
            <x v="0"/>
          </reference>
          <reference field="5" count="1" selected="0">
            <x v="0"/>
          </reference>
        </references>
      </pivotArea>
    </chartFormat>
    <chartFormat chart="12" format="70">
      <pivotArea type="data" outline="0" fieldPosition="0">
        <references count="3">
          <reference field="4294967294" count="1" selected="0">
            <x v="0"/>
          </reference>
          <reference field="1" count="1" selected="0">
            <x v="10"/>
          </reference>
          <reference field="5" count="1" selected="0">
            <x v="0"/>
          </reference>
        </references>
      </pivotArea>
    </chartFormat>
    <chartFormat chart="12" format="71">
      <pivotArea type="data" outline="0" fieldPosition="0">
        <references count="3">
          <reference field="4294967294" count="1" selected="0">
            <x v="0"/>
          </reference>
          <reference field="1" count="1" selected="0">
            <x v="14"/>
          </reference>
          <reference field="5" count="1" selected="0">
            <x v="0"/>
          </reference>
        </references>
      </pivotArea>
    </chartFormat>
    <chartFormat chart="12" format="72" series="1">
      <pivotArea type="data" outline="0" fieldPosition="0">
        <references count="2">
          <reference field="4294967294" count="1" selected="0">
            <x v="0"/>
          </reference>
          <reference field="5" count="1" selected="0">
            <x v="1"/>
          </reference>
        </references>
      </pivotArea>
    </chartFormat>
    <chartFormat chart="12" format="73">
      <pivotArea type="data" outline="0" fieldPosition="0">
        <references count="3">
          <reference field="4294967294" count="1" selected="0">
            <x v="0"/>
          </reference>
          <reference field="1" count="1" selected="0">
            <x v="0"/>
          </reference>
          <reference field="5" count="1" selected="0">
            <x v="1"/>
          </reference>
        </references>
      </pivotArea>
    </chartFormat>
    <chartFormat chart="12" format="74">
      <pivotArea type="data" outline="0" fieldPosition="0">
        <references count="3">
          <reference field="4294967294" count="1" selected="0">
            <x v="0"/>
          </reference>
          <reference field="1" count="1" selected="0">
            <x v="2"/>
          </reference>
          <reference field="5" count="1" selected="0">
            <x v="1"/>
          </reference>
        </references>
      </pivotArea>
    </chartFormat>
    <chartFormat chart="12" format="75">
      <pivotArea type="data" outline="0" fieldPosition="0">
        <references count="3">
          <reference field="4294967294" count="1" selected="0">
            <x v="0"/>
          </reference>
          <reference field="1" count="1" selected="0">
            <x v="7"/>
          </reference>
          <reference field="5" count="1" selected="0">
            <x v="1"/>
          </reference>
        </references>
      </pivotArea>
    </chartFormat>
    <chartFormat chart="12" format="76">
      <pivotArea type="data" outline="0" fieldPosition="0">
        <references count="3">
          <reference field="4294967294" count="1" selected="0">
            <x v="0"/>
          </reference>
          <reference field="1" count="1" selected="0">
            <x v="10"/>
          </reference>
          <reference field="5" count="1" selected="0">
            <x v="1"/>
          </reference>
        </references>
      </pivotArea>
    </chartFormat>
    <chartFormat chart="12" format="77" series="1">
      <pivotArea type="data" outline="0" fieldPosition="0">
        <references count="2">
          <reference field="4294967294" count="1" selected="0">
            <x v="0"/>
          </reference>
          <reference field="5" count="1" selected="0">
            <x v="2"/>
          </reference>
        </references>
      </pivotArea>
    </chartFormat>
    <chartFormat chart="12" format="78">
      <pivotArea type="data" outline="0" fieldPosition="0">
        <references count="3">
          <reference field="4294967294" count="1" selected="0">
            <x v="0"/>
          </reference>
          <reference field="1" count="1" selected="0">
            <x v="7"/>
          </reference>
          <reference field="5" count="1" selected="0">
            <x v="2"/>
          </reference>
        </references>
      </pivotArea>
    </chartFormat>
    <chartFormat chart="12" format="79" series="1">
      <pivotArea type="data" outline="0" fieldPosition="0">
        <references count="2">
          <reference field="4294967294" count="1" selected="0">
            <x v="0"/>
          </reference>
          <reference field="5" count="1" selected="0">
            <x v="3"/>
          </reference>
        </references>
      </pivotArea>
    </chartFormat>
    <chartFormat chart="12" format="80">
      <pivotArea type="data" outline="0" fieldPosition="0">
        <references count="3">
          <reference field="4294967294" count="1" selected="0">
            <x v="0"/>
          </reference>
          <reference field="1" count="1" selected="0">
            <x v="2"/>
          </reference>
          <reference field="5" count="1" selected="0">
            <x v="0"/>
          </reference>
        </references>
      </pivotArea>
    </chartFormat>
    <chartFormat chart="12" format="81">
      <pivotArea type="data" outline="0" fieldPosition="0">
        <references count="3">
          <reference field="4294967294" count="1" selected="0">
            <x v="0"/>
          </reference>
          <reference field="1" count="1" selected="0">
            <x v="3"/>
          </reference>
          <reference field="5" count="1" selected="0">
            <x v="0"/>
          </reference>
        </references>
      </pivotArea>
    </chartFormat>
    <chartFormat chart="12" format="82">
      <pivotArea type="data" outline="0" fieldPosition="0">
        <references count="3">
          <reference field="4294967294" count="1" selected="0">
            <x v="0"/>
          </reference>
          <reference field="1" count="1" selected="0">
            <x v="5"/>
          </reference>
          <reference field="5" count="1" selected="0">
            <x v="0"/>
          </reference>
        </references>
      </pivotArea>
    </chartFormat>
    <chartFormat chart="6" format="4">
      <pivotArea type="data" outline="0" fieldPosition="0">
        <references count="3">
          <reference field="4294967294" count="1" selected="0">
            <x v="0"/>
          </reference>
          <reference field="1" count="1" selected="0">
            <x v="1"/>
          </reference>
          <reference field="5" count="1" selected="0">
            <x v="1"/>
          </reference>
        </references>
      </pivotArea>
    </chartFormat>
    <chartFormat chart="12" format="83">
      <pivotArea type="data" outline="0" fieldPosition="0">
        <references count="3">
          <reference field="4294967294" count="1" selected="0">
            <x v="0"/>
          </reference>
          <reference field="1" count="1" selected="0">
            <x v="1"/>
          </reference>
          <reference field="5" count="1" selected="0">
            <x v="1"/>
          </reference>
        </references>
      </pivotArea>
    </chartFormat>
    <chartFormat chart="12" format="84">
      <pivotArea type="data" outline="0" fieldPosition="0">
        <references count="3">
          <reference field="4294967294" count="1" selected="0">
            <x v="0"/>
          </reference>
          <reference field="1" count="1" selected="0">
            <x v="0"/>
          </reference>
          <reference field="5" count="1" selected="0">
            <x v="2"/>
          </reference>
        </references>
      </pivotArea>
    </chartFormat>
    <chartFormat chart="12" format="85">
      <pivotArea type="data" outline="0" fieldPosition="0">
        <references count="3">
          <reference field="4294967294" count="1" selected="0">
            <x v="0"/>
          </reference>
          <reference field="1" count="1" selected="0">
            <x v="1"/>
          </reference>
          <reference field="5" count="1" selected="0">
            <x v="2"/>
          </reference>
        </references>
      </pivotArea>
    </chartFormat>
    <chartFormat chart="12" format="86">
      <pivotArea type="data" outline="0" fieldPosition="0">
        <references count="3">
          <reference field="4294967294" count="1" selected="0">
            <x v="0"/>
          </reference>
          <reference field="1" count="1" selected="0">
            <x v="8"/>
          </reference>
          <reference field="5" count="1" selected="0">
            <x v="2"/>
          </reference>
        </references>
      </pivotArea>
    </chartFormat>
    <chartFormat chart="12" format="87">
      <pivotArea type="data" outline="0" fieldPosition="0">
        <references count="3">
          <reference field="4294967294" count="1" selected="0">
            <x v="0"/>
          </reference>
          <reference field="1" count="1" selected="0">
            <x v="10"/>
          </reference>
          <reference field="5" count="1" selected="0">
            <x v="2"/>
          </reference>
        </references>
      </pivotArea>
    </chartFormat>
    <chartFormat chart="12" format="88">
      <pivotArea type="data" outline="0" fieldPosition="0">
        <references count="3">
          <reference field="4294967294" count="1" selected="0">
            <x v="0"/>
          </reference>
          <reference field="1" count="1" selected="0">
            <x v="6"/>
          </reference>
          <reference field="5" count="1" selected="0">
            <x v="1"/>
          </reference>
        </references>
      </pivotArea>
    </chartFormat>
    <chartFormat chart="12" format="89">
      <pivotArea type="data" outline="0" fieldPosition="0">
        <references count="3">
          <reference field="4294967294" count="1" selected="0">
            <x v="0"/>
          </reference>
          <reference field="1" count="1" selected="0">
            <x v="6"/>
          </reference>
          <reference field="5" count="1" selected="0">
            <x v="0"/>
          </reference>
        </references>
      </pivotArea>
    </chartFormat>
    <chartFormat chart="12" format="90">
      <pivotArea type="data" outline="0" fieldPosition="0">
        <references count="3">
          <reference field="4294967294" count="1" selected="0">
            <x v="0"/>
          </reference>
          <reference field="1" count="1" selected="0">
            <x v="4"/>
          </reference>
          <reference field="5" count="1" selected="0">
            <x v="0"/>
          </reference>
        </references>
      </pivotArea>
    </chartFormat>
    <chartFormat chart="12" format="91">
      <pivotArea type="data" outline="0" fieldPosition="0">
        <references count="3">
          <reference field="4294967294" count="1" selected="0">
            <x v="0"/>
          </reference>
          <reference field="1" count="1" selected="0">
            <x v="8"/>
          </reference>
          <reference field="5" count="1" selected="0">
            <x v="0"/>
          </reference>
        </references>
      </pivotArea>
    </chartFormat>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7" format="2" series="1">
      <pivotArea type="data" outline="0" fieldPosition="0">
        <references count="2">
          <reference field="4294967294" count="1" selected="0">
            <x v="0"/>
          </reference>
          <reference field="5" count="1" selected="0">
            <x v="2"/>
          </reference>
        </references>
      </pivotArea>
    </chartFormat>
    <chartFormat chart="17" format="3" series="1">
      <pivotArea type="data" outline="0" fieldPosition="0">
        <references count="2">
          <reference field="4294967294" count="1" selected="0">
            <x v="0"/>
          </reference>
          <reference field="5" count="1" selected="0">
            <x v="3"/>
          </reference>
        </references>
      </pivotArea>
    </chartFormat>
    <chartFormat chart="19" format="92" series="1">
      <pivotArea type="data" outline="0" fieldPosition="0">
        <references count="2">
          <reference field="4294967294" count="1" selected="0">
            <x v="0"/>
          </reference>
          <reference field="5" count="1" selected="0">
            <x v="0"/>
          </reference>
        </references>
      </pivotArea>
    </chartFormat>
    <chartFormat chart="19" format="93">
      <pivotArea type="data" outline="0" fieldPosition="0">
        <references count="3">
          <reference field="4294967294" count="1" selected="0">
            <x v="0"/>
          </reference>
          <reference field="1" count="1" selected="0">
            <x v="0"/>
          </reference>
          <reference field="5" count="1" selected="0">
            <x v="0"/>
          </reference>
        </references>
      </pivotArea>
    </chartFormat>
    <chartFormat chart="19" format="94">
      <pivotArea type="data" outline="0" fieldPosition="0">
        <references count="3">
          <reference field="4294967294" count="1" selected="0">
            <x v="0"/>
          </reference>
          <reference field="1" count="1" selected="0">
            <x v="2"/>
          </reference>
          <reference field="5" count="1" selected="0">
            <x v="0"/>
          </reference>
        </references>
      </pivotArea>
    </chartFormat>
    <chartFormat chart="19" format="95">
      <pivotArea type="data" outline="0" fieldPosition="0">
        <references count="3">
          <reference field="4294967294" count="1" selected="0">
            <x v="0"/>
          </reference>
          <reference field="1" count="1" selected="0">
            <x v="3"/>
          </reference>
          <reference field="5" count="1" selected="0">
            <x v="0"/>
          </reference>
        </references>
      </pivotArea>
    </chartFormat>
    <chartFormat chart="19" format="96">
      <pivotArea type="data" outline="0" fieldPosition="0">
        <references count="3">
          <reference field="4294967294" count="1" selected="0">
            <x v="0"/>
          </reference>
          <reference field="1" count="1" selected="0">
            <x v="4"/>
          </reference>
          <reference field="5" count="1" selected="0">
            <x v="0"/>
          </reference>
        </references>
      </pivotArea>
    </chartFormat>
    <chartFormat chart="19" format="97">
      <pivotArea type="data" outline="0" fieldPosition="0">
        <references count="3">
          <reference field="4294967294" count="1" selected="0">
            <x v="0"/>
          </reference>
          <reference field="1" count="1" selected="0">
            <x v="5"/>
          </reference>
          <reference field="5" count="1" selected="0">
            <x v="0"/>
          </reference>
        </references>
      </pivotArea>
    </chartFormat>
    <chartFormat chart="19" format="98">
      <pivotArea type="data" outline="0" fieldPosition="0">
        <references count="3">
          <reference field="4294967294" count="1" selected="0">
            <x v="0"/>
          </reference>
          <reference field="1" count="1" selected="0">
            <x v="6"/>
          </reference>
          <reference field="5" count="1" selected="0">
            <x v="0"/>
          </reference>
        </references>
      </pivotArea>
    </chartFormat>
    <chartFormat chart="19" format="99">
      <pivotArea type="data" outline="0" fieldPosition="0">
        <references count="3">
          <reference field="4294967294" count="1" selected="0">
            <x v="0"/>
          </reference>
          <reference field="1" count="1" selected="0">
            <x v="8"/>
          </reference>
          <reference field="5" count="1" selected="0">
            <x v="0"/>
          </reference>
        </references>
      </pivotArea>
    </chartFormat>
    <chartFormat chart="19" format="100">
      <pivotArea type="data" outline="0" fieldPosition="0">
        <references count="3">
          <reference field="4294967294" count="1" selected="0">
            <x v="0"/>
          </reference>
          <reference field="1" count="1" selected="0">
            <x v="10"/>
          </reference>
          <reference field="5" count="1" selected="0">
            <x v="0"/>
          </reference>
        </references>
      </pivotArea>
    </chartFormat>
    <chartFormat chart="19" format="101">
      <pivotArea type="data" outline="0" fieldPosition="0">
        <references count="3">
          <reference field="4294967294" count="1" selected="0">
            <x v="0"/>
          </reference>
          <reference field="1" count="1" selected="0">
            <x v="14"/>
          </reference>
          <reference field="5" count="1" selected="0">
            <x v="0"/>
          </reference>
        </references>
      </pivotArea>
    </chartFormat>
    <chartFormat chart="19" format="102" series="1">
      <pivotArea type="data" outline="0" fieldPosition="0">
        <references count="2">
          <reference field="4294967294" count="1" selected="0">
            <x v="0"/>
          </reference>
          <reference field="5" count="1" selected="0">
            <x v="1"/>
          </reference>
        </references>
      </pivotArea>
    </chartFormat>
    <chartFormat chart="19" format="103">
      <pivotArea type="data" outline="0" fieldPosition="0">
        <references count="3">
          <reference field="4294967294" count="1" selected="0">
            <x v="0"/>
          </reference>
          <reference field="1" count="1" selected="0">
            <x v="0"/>
          </reference>
          <reference field="5" count="1" selected="0">
            <x v="1"/>
          </reference>
        </references>
      </pivotArea>
    </chartFormat>
    <chartFormat chart="19" format="104">
      <pivotArea type="data" outline="0" fieldPosition="0">
        <references count="3">
          <reference field="4294967294" count="1" selected="0">
            <x v="0"/>
          </reference>
          <reference field="1" count="1" selected="0">
            <x v="1"/>
          </reference>
          <reference field="5" count="1" selected="0">
            <x v="1"/>
          </reference>
        </references>
      </pivotArea>
    </chartFormat>
    <chartFormat chart="19" format="105">
      <pivotArea type="data" outline="0" fieldPosition="0">
        <references count="3">
          <reference field="4294967294" count="1" selected="0">
            <x v="0"/>
          </reference>
          <reference field="1" count="1" selected="0">
            <x v="2"/>
          </reference>
          <reference field="5" count="1" selected="0">
            <x v="1"/>
          </reference>
        </references>
      </pivotArea>
    </chartFormat>
    <chartFormat chart="19" format="106">
      <pivotArea type="data" outline="0" fieldPosition="0">
        <references count="3">
          <reference field="4294967294" count="1" selected="0">
            <x v="0"/>
          </reference>
          <reference field="1" count="1" selected="0">
            <x v="6"/>
          </reference>
          <reference field="5" count="1" selected="0">
            <x v="1"/>
          </reference>
        </references>
      </pivotArea>
    </chartFormat>
    <chartFormat chart="19" format="107">
      <pivotArea type="data" outline="0" fieldPosition="0">
        <references count="3">
          <reference field="4294967294" count="1" selected="0">
            <x v="0"/>
          </reference>
          <reference field="1" count="1" selected="0">
            <x v="7"/>
          </reference>
          <reference field="5" count="1" selected="0">
            <x v="1"/>
          </reference>
        </references>
      </pivotArea>
    </chartFormat>
    <chartFormat chart="19" format="108">
      <pivotArea type="data" outline="0" fieldPosition="0">
        <references count="3">
          <reference field="4294967294" count="1" selected="0">
            <x v="0"/>
          </reference>
          <reference field="1" count="1" selected="0">
            <x v="10"/>
          </reference>
          <reference field="5" count="1" selected="0">
            <x v="1"/>
          </reference>
        </references>
      </pivotArea>
    </chartFormat>
    <chartFormat chart="19" format="109" series="1">
      <pivotArea type="data" outline="0" fieldPosition="0">
        <references count="2">
          <reference field="4294967294" count="1" selected="0">
            <x v="0"/>
          </reference>
          <reference field="5" count="1" selected="0">
            <x v="2"/>
          </reference>
        </references>
      </pivotArea>
    </chartFormat>
    <chartFormat chart="19" format="110">
      <pivotArea type="data" outline="0" fieldPosition="0">
        <references count="3">
          <reference field="4294967294" count="1" selected="0">
            <x v="0"/>
          </reference>
          <reference field="1" count="1" selected="0">
            <x v="0"/>
          </reference>
          <reference field="5" count="1" selected="0">
            <x v="2"/>
          </reference>
        </references>
      </pivotArea>
    </chartFormat>
    <chartFormat chart="19" format="111">
      <pivotArea type="data" outline="0" fieldPosition="0">
        <references count="3">
          <reference field="4294967294" count="1" selected="0">
            <x v="0"/>
          </reference>
          <reference field="1" count="1" selected="0">
            <x v="1"/>
          </reference>
          <reference field="5" count="1" selected="0">
            <x v="2"/>
          </reference>
        </references>
      </pivotArea>
    </chartFormat>
    <chartFormat chart="19" format="112">
      <pivotArea type="data" outline="0" fieldPosition="0">
        <references count="3">
          <reference field="4294967294" count="1" selected="0">
            <x v="0"/>
          </reference>
          <reference field="1" count="1" selected="0">
            <x v="7"/>
          </reference>
          <reference field="5" count="1" selected="0">
            <x v="2"/>
          </reference>
        </references>
      </pivotArea>
    </chartFormat>
    <chartFormat chart="19" format="113">
      <pivotArea type="data" outline="0" fieldPosition="0">
        <references count="3">
          <reference field="4294967294" count="1" selected="0">
            <x v="0"/>
          </reference>
          <reference field="1" count="1" selected="0">
            <x v="8"/>
          </reference>
          <reference field="5" count="1" selected="0">
            <x v="2"/>
          </reference>
        </references>
      </pivotArea>
    </chartFormat>
    <chartFormat chart="19" format="114">
      <pivotArea type="data" outline="0" fieldPosition="0">
        <references count="3">
          <reference field="4294967294" count="1" selected="0">
            <x v="0"/>
          </reference>
          <reference field="1" count="1" selected="0">
            <x v="10"/>
          </reference>
          <reference field="5" count="1" selected="0">
            <x v="2"/>
          </reference>
        </references>
      </pivotArea>
    </chartFormat>
    <chartFormat chart="19" format="115" series="1">
      <pivotArea type="data" outline="0" fieldPosition="0">
        <references count="2">
          <reference field="4294967294" count="1" selected="0">
            <x v="0"/>
          </reference>
          <reference field="5" count="1" selected="0">
            <x v="3"/>
          </reference>
        </references>
      </pivotArea>
    </chartFormat>
    <chartFormat chart="20" format="116" series="1">
      <pivotArea type="data" outline="0" fieldPosition="0">
        <references count="2">
          <reference field="4294967294" count="1" selected="0">
            <x v="0"/>
          </reference>
          <reference field="5" count="1" selected="0">
            <x v="0"/>
          </reference>
        </references>
      </pivotArea>
    </chartFormat>
    <chartFormat chart="20" format="117">
      <pivotArea type="data" outline="0" fieldPosition="0">
        <references count="3">
          <reference field="4294967294" count="1" selected="0">
            <x v="0"/>
          </reference>
          <reference field="1" count="1" selected="0">
            <x v="0"/>
          </reference>
          <reference field="5" count="1" selected="0">
            <x v="0"/>
          </reference>
        </references>
      </pivotArea>
    </chartFormat>
    <chartFormat chart="20" format="118">
      <pivotArea type="data" outline="0" fieldPosition="0">
        <references count="3">
          <reference field="4294967294" count="1" selected="0">
            <x v="0"/>
          </reference>
          <reference field="1" count="1" selected="0">
            <x v="2"/>
          </reference>
          <reference field="5" count="1" selected="0">
            <x v="0"/>
          </reference>
        </references>
      </pivotArea>
    </chartFormat>
    <chartFormat chart="20" format="119">
      <pivotArea type="data" outline="0" fieldPosition="0">
        <references count="3">
          <reference field="4294967294" count="1" selected="0">
            <x v="0"/>
          </reference>
          <reference field="1" count="1" selected="0">
            <x v="3"/>
          </reference>
          <reference field="5" count="1" selected="0">
            <x v="0"/>
          </reference>
        </references>
      </pivotArea>
    </chartFormat>
    <chartFormat chart="20" format="120">
      <pivotArea type="data" outline="0" fieldPosition="0">
        <references count="3">
          <reference field="4294967294" count="1" selected="0">
            <x v="0"/>
          </reference>
          <reference field="1" count="1" selected="0">
            <x v="4"/>
          </reference>
          <reference field="5" count="1" selected="0">
            <x v="0"/>
          </reference>
        </references>
      </pivotArea>
    </chartFormat>
    <chartFormat chart="20" format="121">
      <pivotArea type="data" outline="0" fieldPosition="0">
        <references count="3">
          <reference field="4294967294" count="1" selected="0">
            <x v="0"/>
          </reference>
          <reference field="1" count="1" selected="0">
            <x v="5"/>
          </reference>
          <reference field="5" count="1" selected="0">
            <x v="0"/>
          </reference>
        </references>
      </pivotArea>
    </chartFormat>
    <chartFormat chart="20" format="122">
      <pivotArea type="data" outline="0" fieldPosition="0">
        <references count="3">
          <reference field="4294967294" count="1" selected="0">
            <x v="0"/>
          </reference>
          <reference field="1" count="1" selected="0">
            <x v="6"/>
          </reference>
          <reference field="5" count="1" selected="0">
            <x v="0"/>
          </reference>
        </references>
      </pivotArea>
    </chartFormat>
    <chartFormat chart="20" format="123">
      <pivotArea type="data" outline="0" fieldPosition="0">
        <references count="3">
          <reference field="4294967294" count="1" selected="0">
            <x v="0"/>
          </reference>
          <reference field="1" count="1" selected="0">
            <x v="8"/>
          </reference>
          <reference field="5" count="1" selected="0">
            <x v="0"/>
          </reference>
        </references>
      </pivotArea>
    </chartFormat>
    <chartFormat chart="20" format="124">
      <pivotArea type="data" outline="0" fieldPosition="0">
        <references count="3">
          <reference field="4294967294" count="1" selected="0">
            <x v="0"/>
          </reference>
          <reference field="1" count="1" selected="0">
            <x v="10"/>
          </reference>
          <reference field="5" count="1" selected="0">
            <x v="0"/>
          </reference>
        </references>
      </pivotArea>
    </chartFormat>
    <chartFormat chart="20" format="125">
      <pivotArea type="data" outline="0" fieldPosition="0">
        <references count="3">
          <reference field="4294967294" count="1" selected="0">
            <x v="0"/>
          </reference>
          <reference field="1" count="1" selected="0">
            <x v="14"/>
          </reference>
          <reference field="5" count="1" selected="0">
            <x v="0"/>
          </reference>
        </references>
      </pivotArea>
    </chartFormat>
    <chartFormat chart="20" format="126" series="1">
      <pivotArea type="data" outline="0" fieldPosition="0">
        <references count="2">
          <reference field="4294967294" count="1" selected="0">
            <x v="0"/>
          </reference>
          <reference field="5" count="1" selected="0">
            <x v="1"/>
          </reference>
        </references>
      </pivotArea>
    </chartFormat>
    <chartFormat chart="20" format="127">
      <pivotArea type="data" outline="0" fieldPosition="0">
        <references count="3">
          <reference field="4294967294" count="1" selected="0">
            <x v="0"/>
          </reference>
          <reference field="1" count="1" selected="0">
            <x v="0"/>
          </reference>
          <reference field="5" count="1" selected="0">
            <x v="1"/>
          </reference>
        </references>
      </pivotArea>
    </chartFormat>
    <chartFormat chart="20" format="128">
      <pivotArea type="data" outline="0" fieldPosition="0">
        <references count="3">
          <reference field="4294967294" count="1" selected="0">
            <x v="0"/>
          </reference>
          <reference field="1" count="1" selected="0">
            <x v="1"/>
          </reference>
          <reference field="5" count="1" selected="0">
            <x v="1"/>
          </reference>
        </references>
      </pivotArea>
    </chartFormat>
    <chartFormat chart="20" format="129">
      <pivotArea type="data" outline="0" fieldPosition="0">
        <references count="3">
          <reference field="4294967294" count="1" selected="0">
            <x v="0"/>
          </reference>
          <reference field="1" count="1" selected="0">
            <x v="2"/>
          </reference>
          <reference field="5" count="1" selected="0">
            <x v="1"/>
          </reference>
        </references>
      </pivotArea>
    </chartFormat>
    <chartFormat chart="20" format="130">
      <pivotArea type="data" outline="0" fieldPosition="0">
        <references count="3">
          <reference field="4294967294" count="1" selected="0">
            <x v="0"/>
          </reference>
          <reference field="1" count="1" selected="0">
            <x v="6"/>
          </reference>
          <reference field="5" count="1" selected="0">
            <x v="1"/>
          </reference>
        </references>
      </pivotArea>
    </chartFormat>
    <chartFormat chart="20" format="131">
      <pivotArea type="data" outline="0" fieldPosition="0">
        <references count="3">
          <reference field="4294967294" count="1" selected="0">
            <x v="0"/>
          </reference>
          <reference field="1" count="1" selected="0">
            <x v="7"/>
          </reference>
          <reference field="5" count="1" selected="0">
            <x v="1"/>
          </reference>
        </references>
      </pivotArea>
    </chartFormat>
    <chartFormat chart="20" format="132">
      <pivotArea type="data" outline="0" fieldPosition="0">
        <references count="3">
          <reference field="4294967294" count="1" selected="0">
            <x v="0"/>
          </reference>
          <reference field="1" count="1" selected="0">
            <x v="10"/>
          </reference>
          <reference field="5" count="1" selected="0">
            <x v="1"/>
          </reference>
        </references>
      </pivotArea>
    </chartFormat>
    <chartFormat chart="20" format="133" series="1">
      <pivotArea type="data" outline="0" fieldPosition="0">
        <references count="2">
          <reference field="4294967294" count="1" selected="0">
            <x v="0"/>
          </reference>
          <reference field="5" count="1" selected="0">
            <x v="2"/>
          </reference>
        </references>
      </pivotArea>
    </chartFormat>
    <chartFormat chart="20" format="134">
      <pivotArea type="data" outline="0" fieldPosition="0">
        <references count="3">
          <reference field="4294967294" count="1" selected="0">
            <x v="0"/>
          </reference>
          <reference field="1" count="1" selected="0">
            <x v="0"/>
          </reference>
          <reference field="5" count="1" selected="0">
            <x v="2"/>
          </reference>
        </references>
      </pivotArea>
    </chartFormat>
    <chartFormat chart="20" format="135">
      <pivotArea type="data" outline="0" fieldPosition="0">
        <references count="3">
          <reference field="4294967294" count="1" selected="0">
            <x v="0"/>
          </reference>
          <reference field="1" count="1" selected="0">
            <x v="1"/>
          </reference>
          <reference field="5" count="1" selected="0">
            <x v="2"/>
          </reference>
        </references>
      </pivotArea>
    </chartFormat>
    <chartFormat chart="20" format="136">
      <pivotArea type="data" outline="0" fieldPosition="0">
        <references count="3">
          <reference field="4294967294" count="1" selected="0">
            <x v="0"/>
          </reference>
          <reference field="1" count="1" selected="0">
            <x v="7"/>
          </reference>
          <reference field="5" count="1" selected="0">
            <x v="2"/>
          </reference>
        </references>
      </pivotArea>
    </chartFormat>
    <chartFormat chart="20" format="137">
      <pivotArea type="data" outline="0" fieldPosition="0">
        <references count="3">
          <reference field="4294967294" count="1" selected="0">
            <x v="0"/>
          </reference>
          <reference field="1" count="1" selected="0">
            <x v="8"/>
          </reference>
          <reference field="5" count="1" selected="0">
            <x v="2"/>
          </reference>
        </references>
      </pivotArea>
    </chartFormat>
    <chartFormat chart="20" format="138">
      <pivotArea type="data" outline="0" fieldPosition="0">
        <references count="3">
          <reference field="4294967294" count="1" selected="0">
            <x v="0"/>
          </reference>
          <reference field="1" count="1" selected="0">
            <x v="10"/>
          </reference>
          <reference field="5" count="1" selected="0">
            <x v="2"/>
          </reference>
        </references>
      </pivotArea>
    </chartFormat>
    <chartFormat chart="20" format="139" series="1">
      <pivotArea type="data" outline="0" fieldPosition="0">
        <references count="2">
          <reference field="4294967294" count="1" selected="0">
            <x v="0"/>
          </reference>
          <reference field="5" count="1" selected="0">
            <x v="3"/>
          </reference>
        </references>
      </pivotArea>
    </chartFormat>
    <chartFormat chart="17" format="4">
      <pivotArea type="data" outline="0" fieldPosition="0">
        <references count="3">
          <reference field="4294967294" count="1" selected="0">
            <x v="0"/>
          </reference>
          <reference field="1" count="1" selected="0">
            <x v="1"/>
          </reference>
          <reference field="5" count="1" selected="0">
            <x v="1"/>
          </reference>
        </references>
      </pivotArea>
    </chartFormat>
    <chartFormat chart="17" format="5">
      <pivotArea type="data" outline="0" fieldPosition="0">
        <references count="3">
          <reference field="4294967294" count="1" selected="0">
            <x v="0"/>
          </reference>
          <reference field="1" count="1" selected="0">
            <x v="1"/>
          </reference>
          <reference field="5" count="1" selected="0">
            <x v="2"/>
          </reference>
        </references>
      </pivotArea>
    </chartFormat>
    <chartFormat chart="17" format="6">
      <pivotArea type="data" outline="0" fieldPosition="0">
        <references count="3">
          <reference field="4294967294" count="1" selected="0">
            <x v="0"/>
          </reference>
          <reference field="1" count="1" selected="0">
            <x v="0"/>
          </reference>
          <reference field="5" count="1" selected="0">
            <x v="2"/>
          </reference>
        </references>
      </pivotArea>
    </chartFormat>
    <chartFormat chart="20" format="140">
      <pivotArea type="data" outline="0" fieldPosition="0">
        <references count="3">
          <reference field="4294967294" count="1" selected="0">
            <x v="0"/>
          </reference>
          <reference field="1" count="1" selected="0">
            <x v="0"/>
          </reference>
          <reference field="5" count="1" selected="0">
            <x v="3"/>
          </reference>
        </references>
      </pivotArea>
    </chartFormat>
    <chartFormat chart="20" format="141">
      <pivotArea type="data" outline="0" fieldPosition="0">
        <references count="3">
          <reference field="4294967294" count="1" selected="0">
            <x v="0"/>
          </reference>
          <reference field="1" count="1" selected="0">
            <x v="7"/>
          </reference>
          <reference field="5" count="1" selected="0">
            <x v="3"/>
          </reference>
        </references>
      </pivotArea>
    </chartFormat>
    <chartFormat chart="20" format="142">
      <pivotArea type="data" outline="0" fieldPosition="0">
        <references count="3">
          <reference field="4294967294" count="1" selected="0">
            <x v="0"/>
          </reference>
          <reference field="1" count="1" selected="0">
            <x v="7"/>
          </reference>
          <reference field="5" count="1" selected="0">
            <x v="0"/>
          </reference>
        </references>
      </pivotArea>
    </chartFormat>
    <chartFormat chart="20" format="143">
      <pivotArea type="data" outline="0" fieldPosition="0">
        <references count="3">
          <reference field="4294967294" count="1" selected="0">
            <x v="0"/>
          </reference>
          <reference field="1" count="1" selected="0">
            <x v="1"/>
          </reference>
          <reference field="5" count="1" selected="0">
            <x v="3"/>
          </reference>
        </references>
      </pivotArea>
    </chartFormat>
    <chartFormat chart="20" format="144">
      <pivotArea type="data" outline="0" fieldPosition="0">
        <references count="3">
          <reference field="4294967294" count="1" selected="0">
            <x v="0"/>
          </reference>
          <reference field="1" count="1" selected="0">
            <x v="4"/>
          </reference>
          <reference field="5" count="1" selected="0">
            <x v="3"/>
          </reference>
        </references>
      </pivotArea>
    </chartFormat>
    <chartFormat chart="20" format="145">
      <pivotArea type="data" outline="0" fieldPosition="0">
        <references count="3">
          <reference field="4294967294" count="1" selected="0">
            <x v="0"/>
          </reference>
          <reference field="1" count="1" selected="0">
            <x v="14"/>
          </reference>
          <reference field="5" count="1" selected="0">
            <x v="1"/>
          </reference>
        </references>
      </pivotArea>
    </chartFormat>
    <chartFormat chart="20" format="146">
      <pivotArea type="data" outline="0" fieldPosition="0">
        <references count="3">
          <reference field="4294967294" count="1" selected="0">
            <x v="0"/>
          </reference>
          <reference field="1" count="1" selected="0">
            <x v="14"/>
          </reference>
          <reference field="5" count="1" selected="0">
            <x v="3"/>
          </reference>
        </references>
      </pivotArea>
    </chartFormat>
    <chartFormat chart="20" format="147">
      <pivotArea type="data" outline="0" fieldPosition="0">
        <references count="3">
          <reference field="4294967294" count="1" selected="0">
            <x v="0"/>
          </reference>
          <reference field="1" count="1" selected="0">
            <x v="11"/>
          </reference>
          <reference field="5" count="1" selected="0">
            <x v="1"/>
          </reference>
        </references>
      </pivotArea>
    </chartFormat>
    <chartFormat chart="20" format="148">
      <pivotArea type="data" outline="0" fieldPosition="0">
        <references count="3">
          <reference field="4294967294" count="1" selected="0">
            <x v="0"/>
          </reference>
          <reference field="1" count="1" selected="0">
            <x v="9"/>
          </reference>
          <reference field="5" count="1" selected="0">
            <x v="1"/>
          </reference>
        </references>
      </pivotArea>
    </chartFormat>
    <chartFormat chart="20" format="149">
      <pivotArea type="data" outline="0" fieldPosition="0">
        <references count="3">
          <reference field="4294967294" count="1" selected="0">
            <x v="0"/>
          </reference>
          <reference field="1" count="1" selected="0">
            <x v="9"/>
          </reference>
          <reference field="5" count="1" selected="0">
            <x v="3"/>
          </reference>
        </references>
      </pivotArea>
    </chartFormat>
    <chartFormat chart="20" format="150">
      <pivotArea type="data" outline="0" fieldPosition="0">
        <references count="3">
          <reference field="4294967294" count="1" selected="0">
            <x v="0"/>
          </reference>
          <reference field="1" count="1" selected="0">
            <x v="9"/>
          </reference>
          <reference field="5" count="1" selected="0">
            <x v="0"/>
          </reference>
        </references>
      </pivotArea>
    </chartFormat>
    <chartFormat chart="20" format="151">
      <pivotArea type="data" outline="0" fieldPosition="0">
        <references count="3">
          <reference field="4294967294" count="1" selected="0">
            <x v="0"/>
          </reference>
          <reference field="1" count="1" selected="0">
            <x v="8"/>
          </reference>
          <reference field="5" count="1" selected="0">
            <x v="3"/>
          </reference>
        </references>
      </pivotArea>
    </chartFormat>
    <chartFormat chart="20" format="152">
      <pivotArea type="data" outline="0" fieldPosition="0">
        <references count="3">
          <reference field="4294967294" count="1" selected="0">
            <x v="0"/>
          </reference>
          <reference field="1" count="1" selected="0">
            <x v="12"/>
          </reference>
          <reference field="5" count="1" selected="0">
            <x v="2"/>
          </reference>
        </references>
      </pivotArea>
    </chartFormat>
    <chartFormat chart="20" format="153">
      <pivotArea type="data" outline="0" fieldPosition="0">
        <references count="3">
          <reference field="4294967294" count="1" selected="0">
            <x v="0"/>
          </reference>
          <reference field="1" count="1" selected="0">
            <x v="12"/>
          </reference>
          <reference field="5" count="1" selected="0">
            <x v="1"/>
          </reference>
        </references>
      </pivotArea>
    </chartFormat>
    <chartFormat chart="20" format="154">
      <pivotArea type="data" outline="0" fieldPosition="0">
        <references count="3">
          <reference field="4294967294" count="1" selected="0">
            <x v="0"/>
          </reference>
          <reference field="1" count="1" selected="0">
            <x v="13"/>
          </reference>
          <reference field="5" count="1" selected="0">
            <x v="2"/>
          </reference>
        </references>
      </pivotArea>
    </chartFormat>
    <chartFormat chart="20" format="155">
      <pivotArea type="data" outline="0" fieldPosition="0">
        <references count="3">
          <reference field="4294967294" count="1" selected="0">
            <x v="0"/>
          </reference>
          <reference field="1" count="1" selected="0">
            <x v="13"/>
          </reference>
          <reference field="5" count="1" selected="0">
            <x v="0"/>
          </reference>
        </references>
      </pivotArea>
    </chartFormat>
    <chartFormat chart="20" format="156">
      <pivotArea type="data" outline="0" fieldPosition="0">
        <references count="3">
          <reference field="4294967294" count="1" selected="0">
            <x v="0"/>
          </reference>
          <reference field="1" count="1" selected="0">
            <x v="2"/>
          </reference>
          <reference field="5" count="1" selected="0">
            <x v="3"/>
          </reference>
        </references>
      </pivotArea>
    </chartFormat>
    <chartFormat chart="20" format="157">
      <pivotArea type="data" outline="0" fieldPosition="0">
        <references count="3">
          <reference field="4294967294" count="1" selected="0">
            <x v="0"/>
          </reference>
          <reference field="1" count="1" selected="0">
            <x v="8"/>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44AD51-81C6-4524-98CA-BEB0794DF6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2:E14" firstHeaderRow="0" firstDataRow="1" firstDataCol="1"/>
  <pivotFields count="13">
    <pivotField axis="axisRow" showAll="0" sortType="a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showAll="0"/>
    <pivotField dataField="1" showAll="0"/>
    <pivotField dataField="1" showAll="0"/>
    <pivotField showAll="0">
      <items count="4">
        <item x="1"/>
        <item x="2"/>
        <item x="0"/>
        <item t="default"/>
      </items>
    </pivotField>
    <pivotField dragToRow="0" dragToCol="0" dragToPage="0" showAll="0" defaultSubtotal="0"/>
  </pivotFields>
  <rowFields count="1">
    <field x="0"/>
  </rowFields>
  <rowItems count="12">
    <i>
      <x v="6"/>
    </i>
    <i>
      <x v="10"/>
    </i>
    <i>
      <x v="8"/>
    </i>
    <i>
      <x v="9"/>
    </i>
    <i>
      <x v="7"/>
    </i>
    <i>
      <x v="4"/>
    </i>
    <i>
      <x v="3"/>
    </i>
    <i>
      <x v="5"/>
    </i>
    <i>
      <x v="2"/>
    </i>
    <i>
      <x v="1"/>
    </i>
    <i>
      <x/>
    </i>
    <i t="grand">
      <x/>
    </i>
  </rowItems>
  <colFields count="1">
    <field x="-2"/>
  </colFields>
  <colItems count="2">
    <i>
      <x/>
    </i>
    <i i="1">
      <x v="1"/>
    </i>
  </colItems>
  <dataFields count="2">
    <dataField name="Number of Unit Sold" fld="10" baseField="0" baseItem="6"/>
    <dataField name="Avg Price_USD" fld="9" subtotal="average" baseField="0" baseItem="6"/>
  </dataFields>
  <formats count="2">
    <format dxfId="15">
      <pivotArea collapsedLevelsAreSubtotals="1" fieldPosition="0">
        <references count="2">
          <reference field="4294967294" count="1" selected="0">
            <x v="0"/>
          </reference>
          <reference field="0" count="0"/>
        </references>
      </pivotArea>
    </format>
    <format dxfId="14">
      <pivotArea collapsedLevelsAreSubtotals="1" fieldPosition="0">
        <references count="2">
          <reference field="4294967294" count="1" selected="0">
            <x v="1"/>
          </reference>
          <reference field="0" count="0"/>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6"/>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2">
          <reference field="4294967294" count="1" selected="0">
            <x v="1"/>
          </reference>
          <reference field="0" count="1" selected="0">
            <x v="6"/>
          </reference>
        </references>
      </pivotArea>
    </chartFormat>
    <chartFormat chart="0" format="4">
      <pivotArea type="data" outline="0" fieldPosition="0">
        <references count="2">
          <reference field="4294967294" count="1" selected="0">
            <x v="0"/>
          </reference>
          <reference field="0" count="1" selected="0">
            <x v="10"/>
          </reference>
        </references>
      </pivotArea>
    </chartFormat>
    <chartFormat chart="0" format="5">
      <pivotArea type="data" outline="0" fieldPosition="0">
        <references count="2">
          <reference field="4294967294" count="1" selected="0">
            <x v="1"/>
          </reference>
          <reference field="0" count="1" selected="0">
            <x v="10"/>
          </reference>
        </references>
      </pivotArea>
    </chartFormat>
    <chartFormat chart="0" format="6">
      <pivotArea type="data" outline="0" fieldPosition="0">
        <references count="2">
          <reference field="4294967294" count="1" selected="0">
            <x v="0"/>
          </reference>
          <reference field="0" count="1" selected="0">
            <x v="8"/>
          </reference>
        </references>
      </pivotArea>
    </chartFormat>
    <chartFormat chart="0" format="7">
      <pivotArea type="data" outline="0" fieldPosition="0">
        <references count="2">
          <reference field="4294967294" count="1" selected="0">
            <x v="1"/>
          </reference>
          <reference field="0" count="1" selected="0">
            <x v="8"/>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6"/>
          </reference>
        </references>
      </pivotArea>
    </chartFormat>
    <chartFormat chart="5" format="18" series="1">
      <pivotArea type="data" outline="0" fieldPosition="0">
        <references count="1">
          <reference field="4294967294" count="1" selected="0">
            <x v="1"/>
          </reference>
        </references>
      </pivotArea>
    </chartFormat>
    <chartFormat chart="5" format="19">
      <pivotArea type="data" outline="0" fieldPosition="0">
        <references count="2">
          <reference field="4294967294" count="1" selected="0">
            <x v="1"/>
          </reference>
          <reference field="0" count="1" selected="0">
            <x v="6"/>
          </reference>
        </references>
      </pivotArea>
    </chartFormat>
    <chartFormat chart="5" format="20">
      <pivotArea type="data" outline="0" fieldPosition="0">
        <references count="2">
          <reference field="4294967294" count="1" selected="0">
            <x v="0"/>
          </reference>
          <reference field="0" count="1" selected="0">
            <x v="4"/>
          </reference>
        </references>
      </pivotArea>
    </chartFormat>
    <chartFormat chart="5" format="21">
      <pivotArea type="data" outline="0" fieldPosition="0">
        <references count="2">
          <reference field="4294967294" count="1" selected="0">
            <x v="1"/>
          </reference>
          <reference field="0" count="1" selected="0">
            <x v="4"/>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0"/>
          </reference>
          <reference field="0" count="1" selected="0">
            <x v="5"/>
          </reference>
        </references>
      </pivotArea>
    </chartFormat>
    <chartFormat chart="0" format="11">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C973B5-1469-4DBA-AF82-08544B26D0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1">
  <location ref="E2:G18" firstHeaderRow="0" firstDataRow="1" firstDataCol="1"/>
  <pivotFields count="13">
    <pivotField showAll="0"/>
    <pivotField axis="axisRow" showAll="0">
      <items count="16">
        <item x="0"/>
        <item x="1"/>
        <item x="2"/>
        <item x="3"/>
        <item x="4"/>
        <item x="5"/>
        <item x="6"/>
        <item x="7"/>
        <item x="8"/>
        <item x="9"/>
        <item x="10"/>
        <item x="11"/>
        <item x="12"/>
        <item x="13"/>
        <item x="14"/>
        <item t="default"/>
      </items>
    </pivotField>
    <pivotField showAll="0">
      <items count="13">
        <item h="1" x="0"/>
        <item h="1" x="1"/>
        <item x="2"/>
        <item h="1" x="3"/>
        <item h="1" x="4"/>
        <item h="1" x="5"/>
        <item h="1" x="6"/>
        <item h="1" x="7"/>
        <item h="1" x="8"/>
        <item h="1" x="9"/>
        <item h="1" x="10"/>
        <item h="1" x="11"/>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Revenue" fld="12" subtotal="average" baseField="1" baseItem="0"/>
    <dataField name="Total Units Sold" fld="10" baseField="1" baseItem="0"/>
  </dataFields>
  <formats count="2">
    <format dxfId="2">
      <pivotArea collapsedLevelsAreSubtotals="1" fieldPosition="0">
        <references count="2">
          <reference field="4294967294" count="1" selected="0">
            <x v="1"/>
          </reference>
          <reference field="1" count="0"/>
        </references>
      </pivotArea>
    </format>
    <format dxfId="1">
      <pivotArea collapsedLevelsAreSubtotals="1" fieldPosition="0">
        <references count="2">
          <reference field="4294967294" count="1" selected="0">
            <x v="0"/>
          </reference>
          <reference field="1" count="0"/>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1"/>
          </reference>
          <reference field="1" count="1" selected="0">
            <x v="0"/>
          </reference>
        </references>
      </pivotArea>
    </chartFormat>
    <chartFormat chart="8" format="7">
      <pivotArea type="data" outline="0" fieldPosition="0">
        <references count="2">
          <reference field="4294967294" count="1" selected="0">
            <x v="0"/>
          </reference>
          <reference field="1" count="1" selected="0">
            <x v="11"/>
          </reference>
        </references>
      </pivotArea>
    </chartFormat>
    <chartFormat chart="8" format="8">
      <pivotArea type="data" outline="0" fieldPosition="0">
        <references count="2">
          <reference field="4294967294" count="1" selected="0">
            <x v="1"/>
          </reference>
          <reference field="1" count="1" selected="0">
            <x v="3"/>
          </reference>
        </references>
      </pivotArea>
    </chartFormat>
    <chartFormat chart="8" format="9">
      <pivotArea type="data" outline="0" fieldPosition="0">
        <references count="2">
          <reference field="4294967294" count="1" selected="0">
            <x v="1"/>
          </reference>
          <reference field="1" count="1" selected="0">
            <x v="2"/>
          </reference>
        </references>
      </pivotArea>
    </chartFormat>
    <chartFormat chart="8" format="10">
      <pivotArea type="data" outline="0" fieldPosition="0">
        <references count="2">
          <reference field="4294967294" count="1" selected="0">
            <x v="1"/>
          </reference>
          <reference field="1" count="1" selected="0">
            <x v="5"/>
          </reference>
        </references>
      </pivotArea>
    </chartFormat>
    <chartFormat chart="8" format="11">
      <pivotArea type="data" outline="0" fieldPosition="0">
        <references count="2">
          <reference field="4294967294" count="1" selected="0">
            <x v="0"/>
          </reference>
          <reference field="1" count="1" selected="0">
            <x v="5"/>
          </reference>
        </references>
      </pivotArea>
    </chartFormat>
    <chartFormat chart="8" format="12">
      <pivotArea type="data" outline="0" fieldPosition="0">
        <references count="2">
          <reference field="4294967294" count="1" selected="0">
            <x v="1"/>
          </reference>
          <reference field="1" count="1" selected="0">
            <x v="6"/>
          </reference>
        </references>
      </pivotArea>
    </chartFormat>
    <chartFormat chart="8" format="13">
      <pivotArea type="data" outline="0" fieldPosition="0">
        <references count="2">
          <reference field="4294967294" count="1" selected="0">
            <x v="1"/>
          </reference>
          <reference field="1" count="1" selected="0">
            <x v="4"/>
          </reference>
        </references>
      </pivotArea>
    </chartFormat>
    <chartFormat chart="8" format="14">
      <pivotArea type="data" outline="0" fieldPosition="0">
        <references count="2">
          <reference field="4294967294" count="1" selected="0">
            <x v="1"/>
          </reference>
          <reference field="1" count="1" selected="0">
            <x v="7"/>
          </reference>
        </references>
      </pivotArea>
    </chartFormat>
    <chartFormat chart="8" format="15">
      <pivotArea type="data" outline="0" fieldPosition="0">
        <references count="2">
          <reference field="4294967294" count="1" selected="0">
            <x v="1"/>
          </reference>
          <reference field="1" count="1" selected="0">
            <x v="8"/>
          </reference>
        </references>
      </pivotArea>
    </chartFormat>
    <chartFormat chart="8" format="16">
      <pivotArea type="data" outline="0" fieldPosition="0">
        <references count="2">
          <reference field="4294967294" count="1" selected="0">
            <x v="1"/>
          </reference>
          <reference field="1" count="1" selected="0">
            <x v="10"/>
          </reference>
        </references>
      </pivotArea>
    </chartFormat>
    <chartFormat chart="8" format="17">
      <pivotArea type="data" outline="0" fieldPosition="0">
        <references count="2">
          <reference field="4294967294" count="1" selected="0">
            <x v="1"/>
          </reference>
          <reference field="1" count="1" selected="0">
            <x v="11"/>
          </reference>
        </references>
      </pivotArea>
    </chartFormat>
    <chartFormat chart="8" format="18">
      <pivotArea type="data" outline="0" fieldPosition="0">
        <references count="2">
          <reference field="4294967294" count="1" selected="0">
            <x v="1"/>
          </reference>
          <reference field="1" count="1" selected="0">
            <x v="12"/>
          </reference>
        </references>
      </pivotArea>
    </chartFormat>
    <chartFormat chart="8" format="19">
      <pivotArea type="data" outline="0" fieldPosition="0">
        <references count="2">
          <reference field="4294967294" count="1" selected="0">
            <x v="0"/>
          </reference>
          <reference field="1" count="1" selected="0">
            <x v="6"/>
          </reference>
        </references>
      </pivotArea>
    </chartFormat>
    <chartFormat chart="8" format="2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0A6056-DB7E-4C40-87C2-A3C0F71E90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S3" firstHeaderRow="1" firstDataRow="1" firstDataCol="0"/>
  <pivotFields count="13">
    <pivotField showAll="0"/>
    <pivotField showAll="0"/>
    <pivotField showAll="0">
      <items count="13">
        <item h="1" x="0"/>
        <item h="1" x="1"/>
        <item x="2"/>
        <item h="1" x="3"/>
        <item h="1" x="4"/>
        <item h="1" x="5"/>
        <item h="1" x="6"/>
        <item h="1" x="7"/>
        <item h="1" x="8"/>
        <item h="1" x="9"/>
        <item h="1" x="10"/>
        <item h="1" x="11"/>
        <item t="default"/>
      </items>
    </pivotField>
    <pivotField showAll="0"/>
    <pivotField showAll="0"/>
    <pivotField showAll="0">
      <items count="5">
        <item x="3"/>
        <item x="2"/>
        <item x="0"/>
        <item x="1"/>
        <item t="default"/>
      </items>
    </pivotField>
    <pivotField showAll="0"/>
    <pivotField showAll="0"/>
    <pivotField showAll="0"/>
    <pivotField dataField="1" showAll="0"/>
    <pivotField showAll="0"/>
    <pivotField showAll="0"/>
    <pivotField dragToRow="0" dragToCol="0" dragToPage="0" showAll="0" defaultSubtotal="0"/>
  </pivotFields>
  <rowItems count="1">
    <i/>
  </rowItems>
  <colItems count="1">
    <i/>
  </colItems>
  <dataFields count="1">
    <dataField name="Avg Price USD" fld="9" subtotal="average"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4EC205-CCCC-4AED-98A2-D9D856AC69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7">
  <location ref="B2:C6" firstHeaderRow="1" firstDataRow="1" firstDataCol="1"/>
  <pivotFields count="13">
    <pivotField showAll="0"/>
    <pivotField showAll="0"/>
    <pivotField showAll="0">
      <items count="13">
        <item h="1" x="0"/>
        <item h="1" x="1"/>
        <item x="2"/>
        <item h="1" x="3"/>
        <item h="1" x="4"/>
        <item h="1" x="5"/>
        <item h="1" x="6"/>
        <item h="1" x="7"/>
        <item h="1" x="8"/>
        <item h="1" x="9"/>
        <item h="1" x="10"/>
        <item h="1" x="11"/>
        <item t="default"/>
      </items>
    </pivotField>
    <pivotField axis="axisRow" showAll="0">
      <items count="4">
        <item x="0"/>
        <item x="2"/>
        <item x="1"/>
        <item t="default"/>
      </items>
    </pivotField>
    <pivotField showAll="0"/>
    <pivotField showAll="0">
      <items count="5">
        <item x="3"/>
        <item x="2"/>
        <item x="0"/>
        <item x="1"/>
        <item t="default"/>
      </items>
    </pivotField>
    <pivotField showAll="0"/>
    <pivotField showAll="0"/>
    <pivotField showAll="0"/>
    <pivotField dataField="1"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Average of Price_USD" fld="9" subtotal="average" baseField="3" baseItem="0"/>
  </dataFields>
  <formats count="1">
    <format dxfId="4">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B270CF-A26B-44F1-8A19-DE082A54C4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Q3" firstHeaderRow="1" firstDataRow="1" firstDataCol="0"/>
  <pivotFields count="13">
    <pivotField showAll="0"/>
    <pivotField showAll="0"/>
    <pivotField showAll="0">
      <items count="13">
        <item h="1" x="0"/>
        <item h="1" x="1"/>
        <item x="2"/>
        <item h="1" x="3"/>
        <item h="1" x="4"/>
        <item h="1" x="5"/>
        <item h="1" x="6"/>
        <item h="1" x="7"/>
        <item h="1" x="8"/>
        <item h="1" x="9"/>
        <item h="1" x="10"/>
        <item h="1" x="11"/>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Sum of Revenue" fld="12"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4D69F5-8A79-4FB8-948F-8FC23A941E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O3" firstHeaderRow="1" firstDataRow="1" firstDataCol="0"/>
  <pivotFields count="13">
    <pivotField showAll="0"/>
    <pivotField showAll="0"/>
    <pivotField showAll="0">
      <items count="13">
        <item h="1" x="0"/>
        <item h="1" x="1"/>
        <item x="2"/>
        <item h="1" x="3"/>
        <item h="1" x="4"/>
        <item h="1" x="5"/>
        <item h="1" x="6"/>
        <item h="1" x="7"/>
        <item h="1" x="8"/>
        <item h="1" x="9"/>
        <item h="1" x="10"/>
        <item h="1" x="11"/>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showAll="0"/>
    <pivotField dragToRow="0" dragToCol="0" dragToPage="0" showAll="0" defaultSubtotal="0"/>
  </pivotFields>
  <rowItems count="1">
    <i/>
  </rowItems>
  <colItems count="1">
    <i/>
  </colItems>
  <dataFields count="1">
    <dataField name="Total Units Sold" fld="10"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FECF2D-6333-4429-9232-C6015EA3AD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1">
  <location ref="I2:K6" firstHeaderRow="0" firstDataRow="1" firstDataCol="1"/>
  <pivotFields count="13">
    <pivotField showAll="0"/>
    <pivotField showAll="0"/>
    <pivotField showAll="0">
      <items count="13">
        <item h="1" x="0"/>
        <item h="1" x="1"/>
        <item x="2"/>
        <item h="1" x="3"/>
        <item h="1" x="4"/>
        <item h="1" x="5"/>
        <item h="1" x="6"/>
        <item h="1" x="7"/>
        <item h="1" x="8"/>
        <item h="1" x="9"/>
        <item h="1" x="10"/>
        <item h="1" x="11"/>
        <item t="default"/>
      </items>
    </pivotField>
    <pivotField axis="axisRow" showAll="0">
      <items count="4">
        <item x="0"/>
        <item x="2"/>
        <item x="1"/>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3"/>
  </rowFields>
  <rowItems count="4">
    <i>
      <x/>
    </i>
    <i>
      <x v="1"/>
    </i>
    <i>
      <x v="2"/>
    </i>
    <i t="grand">
      <x/>
    </i>
  </rowItems>
  <colFields count="1">
    <field x="-2"/>
  </colFields>
  <colItems count="2">
    <i>
      <x/>
    </i>
    <i i="1">
      <x v="1"/>
    </i>
  </colItems>
  <dataFields count="2">
    <dataField name="Total Revenue" fld="12" baseField="3" baseItem="0"/>
    <dataField name="Number of Unit Sold" fld="10" baseField="3" baseItem="0"/>
  </dataFields>
  <formats count="2">
    <format dxfId="8">
      <pivotArea collapsedLevelsAreSubtotals="1" fieldPosition="0">
        <references count="2">
          <reference field="4294967294" count="1" selected="0">
            <x v="0"/>
          </reference>
          <reference field="3" count="0"/>
        </references>
      </pivotArea>
    </format>
    <format dxfId="7">
      <pivotArea collapsedLevelsAreSubtotals="1" fieldPosition="0">
        <references count="2">
          <reference field="4294967294" count="1" selected="0">
            <x v="1"/>
          </reference>
          <reference field="3" count="0"/>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0"/>
          </reference>
        </references>
      </pivotArea>
    </chartFormat>
    <chartFormat chart="0" format="3">
      <pivotArea type="data" outline="0" fieldPosition="0">
        <references count="2">
          <reference field="4294967294" count="1" selected="0">
            <x v="1"/>
          </reference>
          <reference field="3" count="1" selected="0">
            <x v="1"/>
          </reference>
        </references>
      </pivotArea>
    </chartFormat>
    <chartFormat chart="0" format="4">
      <pivotArea type="data" outline="0" fieldPosition="0">
        <references count="2">
          <reference field="4294967294" count="1" selected="0">
            <x v="1"/>
          </reference>
          <reference field="3"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3" count="1" selected="0">
            <x v="0"/>
          </reference>
        </references>
      </pivotArea>
    </chartFormat>
    <chartFormat chart="2" format="13">
      <pivotArea type="data" outline="0" fieldPosition="0">
        <references count="2">
          <reference field="4294967294" count="1" selected="0">
            <x v="1"/>
          </reference>
          <reference field="3" count="1" selected="0">
            <x v="1"/>
          </reference>
        </references>
      </pivotArea>
    </chartFormat>
    <chartFormat chart="2" format="14">
      <pivotArea type="data" outline="0" fieldPosition="0">
        <references count="2">
          <reference field="4294967294" count="1" selected="0">
            <x v="1"/>
          </reference>
          <reference field="3" count="1" selected="0">
            <x v="2"/>
          </reference>
        </references>
      </pivotArea>
    </chartFormat>
    <chartFormat chart="353" format="5" series="1">
      <pivotArea type="data" outline="0" fieldPosition="0">
        <references count="1">
          <reference field="4294967294" count="1" selected="0">
            <x v="0"/>
          </reference>
        </references>
      </pivotArea>
    </chartFormat>
    <chartFormat chart="353" format="6" series="1">
      <pivotArea type="data" outline="0" fieldPosition="0">
        <references count="1">
          <reference field="4294967294" count="1" selected="0">
            <x v="1"/>
          </reference>
        </references>
      </pivotArea>
    </chartFormat>
    <chartFormat chart="353" format="7">
      <pivotArea type="data" outline="0" fieldPosition="0">
        <references count="2">
          <reference field="4294967294" count="1" selected="0">
            <x v="1"/>
          </reference>
          <reference field="3" count="1" selected="0">
            <x v="0"/>
          </reference>
        </references>
      </pivotArea>
    </chartFormat>
    <chartFormat chart="353" format="8">
      <pivotArea type="data" outline="0" fieldPosition="0">
        <references count="2">
          <reference field="4294967294" count="1" selected="0">
            <x v="1"/>
          </reference>
          <reference field="3" count="1" selected="0">
            <x v="1"/>
          </reference>
        </references>
      </pivotArea>
    </chartFormat>
    <chartFormat chart="353" format="9">
      <pivotArea type="data" outline="0" fieldPosition="0">
        <references count="2">
          <reference field="4294967294" count="1" selected="0">
            <x v="1"/>
          </reference>
          <reference field="3" count="1" selected="0">
            <x v="2"/>
          </reference>
        </references>
      </pivotArea>
    </chartFormat>
    <chartFormat chart="360" format="15" series="1">
      <pivotArea type="data" outline="0" fieldPosition="0">
        <references count="1">
          <reference field="4294967294" count="1" selected="0">
            <x v="0"/>
          </reference>
        </references>
      </pivotArea>
    </chartFormat>
    <chartFormat chart="360" format="16" series="1">
      <pivotArea type="data" outline="0" fieldPosition="0">
        <references count="1">
          <reference field="4294967294" count="1" selected="0">
            <x v="1"/>
          </reference>
        </references>
      </pivotArea>
    </chartFormat>
    <chartFormat chart="360" format="17">
      <pivotArea type="data" outline="0" fieldPosition="0">
        <references count="2">
          <reference field="4294967294" count="1" selected="0">
            <x v="1"/>
          </reference>
          <reference field="3" count="1" selected="0">
            <x v="0"/>
          </reference>
        </references>
      </pivotArea>
    </chartFormat>
    <chartFormat chart="360" format="18">
      <pivotArea type="data" outline="0" fieldPosition="0">
        <references count="2">
          <reference field="4294967294" count="1" selected="0">
            <x v="1"/>
          </reference>
          <reference field="3" count="1" selected="0">
            <x v="1"/>
          </reference>
        </references>
      </pivotArea>
    </chartFormat>
    <chartFormat chart="360" format="19">
      <pivotArea type="data" outline="0" fieldPosition="0">
        <references count="2">
          <reference field="4294967294" count="1" selected="0">
            <x v="1"/>
          </reference>
          <reference field="3" count="1" selected="0">
            <x v="2"/>
          </reference>
        </references>
      </pivotArea>
    </chartFormat>
    <chartFormat chart="360" format="2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8B1E1F-8DD1-4A00-9BA3-F71453AB8F6C}" sourceName="Month">
  <pivotTables>
    <pivotTable tabId="2" name="PivotTable4"/>
    <pivotTable tabId="2" name="PivotTable5"/>
    <pivotTable tabId="2" name="PivotTable1"/>
    <pivotTable tabId="2" name="PivotTable10"/>
    <pivotTable tabId="2" name="PivotTable2"/>
    <pivotTable tabId="2" name="PivotTable6"/>
    <pivotTable tabId="2" name="PivotTable7"/>
    <pivotTable tabId="2" name="PivotTable8"/>
    <pivotTable tabId="2" name="PivotTable9"/>
  </pivotTables>
  <data>
    <tabular pivotCacheId="92606397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62223FEE-779C-4768-8144-04A3D526BE62}" sourceName="Fuel_Type">
  <pivotTables>
    <pivotTable tabId="3" name="PivotTable8"/>
    <pivotTable tabId="3" name="PivotTable1"/>
    <pivotTable tabId="3" name="PivotTable2"/>
    <pivotTable tabId="3" name="PivotTable3"/>
    <pivotTable tabId="3" name="PivotTable4"/>
    <pivotTable tabId="3" name="PivotTable5"/>
  </pivotTables>
  <data>
    <tabular pivotCacheId="92606397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6BD061-E6B6-42B6-BF5E-D1431DDE9292}" sourceName="Region">
  <pivotTables>
    <pivotTable tabId="2" name="PivotTable4"/>
    <pivotTable tabId="2" name="PivotTable1"/>
    <pivotTable tabId="2" name="PivotTable10"/>
    <pivotTable tabId="2" name="PivotTable2"/>
    <pivotTable tabId="2" name="PivotTable5"/>
    <pivotTable tabId="2" name="PivotTable6"/>
    <pivotTable tabId="2" name="PivotTable7"/>
    <pivotTable tabId="2" name="PivotTable8"/>
    <pivotTable tabId="2" name="PivotTable9"/>
  </pivotTables>
  <data>
    <tabular pivotCacheId="9260639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7A96829-237F-4B6D-96EF-A5975ACD400F}" cache="Slicer_Month" caption="Month" columnCount="6" rowHeight="257175"/>
  <slicer name="Region" xr10:uid="{A5E785E8-557A-4D6C-82D9-BF9C434018E0}" cache="Slicer_Region" caption="Region"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F02A8CB-98A6-4D46-BC41-BB171AD15245}" cache="Slicer_Month" caption="Month" columnCount="6" rowHeight="257175"/>
  <slicer name="Fuel_Type" xr10:uid="{C9911DF9-F29A-48A4-83D6-0B889B14D7AC}" cache="Slicer_Fuel_Type" caption="Fuel_Type" columnCoun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2AA7B-653B-4515-B4F9-FF3A3A2041E5}" name="Table1" displayName="Table1" ref="A1:L181" totalsRowShown="0">
  <autoFilter ref="A1:L181" xr:uid="{5222AA7B-653B-4515-B4F9-FF3A3A2041E5}"/>
  <tableColumns count="12">
    <tableColumn id="1" xr3:uid="{91EA71A3-31B2-4EEE-A048-D91363524586}" name="Models">
      <calculatedColumnFormula array="1">INDEX({"3 Series","5 Series","7 Series","i3","i8","M3","M5","X1","X3","X5","X6"},MOD(ROW()-2,11)+1)</calculatedColumnFormula>
    </tableColumn>
    <tableColumn id="2" xr3:uid="{A61D14AC-44B5-403A-958B-610BBF48800D}" name="Year"/>
    <tableColumn id="3" xr3:uid="{EBB37EA8-96E2-4F91-8AB9-7A184DF8DF76}" name="Month"/>
    <tableColumn id="4" xr3:uid="{77AD88D3-CE0D-48AE-8F90-FEDC66455AD3}" name="Region"/>
    <tableColumn id="5" xr3:uid="{6B3B468C-7681-4E4A-BC5D-9806C4147BA9}" name="Color"/>
    <tableColumn id="6" xr3:uid="{DC3A6F33-F935-42AD-8C95-4B9C21973BA0}" name="Fuel_Type"/>
    <tableColumn id="7" xr3:uid="{74C5050F-A2E9-41A4-9D58-7B6A1DFEBFF4}" name="Transmission"/>
    <tableColumn id="8" xr3:uid="{AEBCC8E9-3D14-444D-A815-5A02947868FC}" name="Engine_Size_L"/>
    <tableColumn id="9" xr3:uid="{B319E09C-2F0E-4A9C-A5A4-078798C6C7CF}" name="Mileage_KM"/>
    <tableColumn id="10" xr3:uid="{8182C008-EA80-426D-9F69-DC55429EBC8D}" name="Price_USD"/>
    <tableColumn id="11" xr3:uid="{D8F2251C-67AA-478D-9C1D-79B91C79EEC7}" name="Units_Sold"/>
    <tableColumn id="12" xr3:uid="{BCF417BE-57C9-45F8-AA35-11D9D893ACBE}" name="Sales_Classificatio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A690-9F97-42AF-823E-22D0DA8D0788}">
  <dimension ref="A1:L181"/>
  <sheetViews>
    <sheetView workbookViewId="0">
      <selection activeCell="N18" sqref="N18"/>
    </sheetView>
  </sheetViews>
  <sheetFormatPr defaultRowHeight="15" x14ac:dyDescent="0.25"/>
  <cols>
    <col min="1" max="1" width="9.5703125" customWidth="1"/>
    <col min="3" max="3" width="10.28515625" bestFit="1" customWidth="1"/>
    <col min="4" max="4" width="9.5703125" bestFit="1" customWidth="1"/>
    <col min="5" max="5" width="8.28515625" bestFit="1" customWidth="1"/>
    <col min="6" max="6" width="12.28515625" bestFit="1" customWidth="1"/>
    <col min="7" max="7" width="15.42578125" bestFit="1" customWidth="1"/>
    <col min="8" max="8" width="16" bestFit="1" customWidth="1"/>
    <col min="9" max="9" width="13.85546875" bestFit="1" customWidth="1"/>
    <col min="10" max="10" width="12.5703125" bestFit="1" customWidth="1"/>
    <col min="11" max="11" width="13.42578125" bestFit="1" customWidth="1"/>
    <col min="12" max="12" width="20.85546875" customWidth="1"/>
  </cols>
  <sheetData>
    <row r="1" spans="1:12" x14ac:dyDescent="0.25">
      <c r="A1" t="s">
        <v>41</v>
      </c>
      <c r="B1" t="s">
        <v>39</v>
      </c>
      <c r="C1" t="s">
        <v>0</v>
      </c>
      <c r="D1" t="s">
        <v>1</v>
      </c>
      <c r="E1" t="s">
        <v>2</v>
      </c>
      <c r="F1" t="s">
        <v>3</v>
      </c>
      <c r="G1" t="s">
        <v>4</v>
      </c>
      <c r="H1" t="s">
        <v>5</v>
      </c>
      <c r="I1" t="s">
        <v>6</v>
      </c>
      <c r="J1" t="s">
        <v>7</v>
      </c>
      <c r="K1" t="s">
        <v>40</v>
      </c>
      <c r="L1" t="s">
        <v>8</v>
      </c>
    </row>
    <row r="2" spans="1:12" x14ac:dyDescent="0.25">
      <c r="A2" t="str" cm="1">
        <f t="array" ref="A2">INDEX({"3 Series","5 Series","7 Series","i3","i8","M3","M5","X1","X3","X5","X6"},MOD(ROW()-2,11)+1)</f>
        <v>3 Series</v>
      </c>
      <c r="B2">
        <v>2010</v>
      </c>
      <c r="C2" t="s">
        <v>9</v>
      </c>
      <c r="D2" t="s">
        <v>10</v>
      </c>
      <c r="E2" t="s">
        <v>11</v>
      </c>
      <c r="F2" t="s">
        <v>12</v>
      </c>
      <c r="G2" t="s">
        <v>13</v>
      </c>
      <c r="H2">
        <v>2.5</v>
      </c>
      <c r="I2">
        <v>103854</v>
      </c>
      <c r="J2">
        <v>44165</v>
      </c>
      <c r="K2">
        <v>4490</v>
      </c>
      <c r="L2" t="s">
        <v>14</v>
      </c>
    </row>
    <row r="3" spans="1:12" x14ac:dyDescent="0.25">
      <c r="A3" t="str" cm="1">
        <f t="array" ref="A3">INDEX({"3 Series","5 Series","7 Series","i3","i8","M3","M5","X1","X3","X5","X6"},MOD(ROW()-2,11)+1)</f>
        <v>5 Series</v>
      </c>
      <c r="B3">
        <v>2010</v>
      </c>
      <c r="C3" t="s">
        <v>15</v>
      </c>
      <c r="D3" t="s">
        <v>16</v>
      </c>
      <c r="E3" t="s">
        <v>17</v>
      </c>
      <c r="F3" t="s">
        <v>18</v>
      </c>
      <c r="G3" t="s">
        <v>19</v>
      </c>
      <c r="H3">
        <v>2.5</v>
      </c>
      <c r="I3">
        <v>105651</v>
      </c>
      <c r="J3">
        <v>24363</v>
      </c>
      <c r="K3">
        <v>4615</v>
      </c>
      <c r="L3" t="s">
        <v>20</v>
      </c>
    </row>
    <row r="4" spans="1:12" x14ac:dyDescent="0.25">
      <c r="A4" t="str" cm="1">
        <f t="array" ref="A4">INDEX({"3 Series","5 Series","7 Series","i3","i8","M3","M5","X1","X3","X5","X6"},MOD(ROW()-2,11)+1)</f>
        <v>7 Series</v>
      </c>
      <c r="B4">
        <v>2010</v>
      </c>
      <c r="C4" t="s">
        <v>21</v>
      </c>
      <c r="D4" t="s">
        <v>16</v>
      </c>
      <c r="E4" t="s">
        <v>22</v>
      </c>
      <c r="F4" t="s">
        <v>23</v>
      </c>
      <c r="G4" t="s">
        <v>13</v>
      </c>
      <c r="H4">
        <v>2</v>
      </c>
      <c r="I4">
        <v>108883</v>
      </c>
      <c r="J4">
        <v>34153</v>
      </c>
      <c r="K4">
        <v>1744</v>
      </c>
      <c r="L4" t="s">
        <v>20</v>
      </c>
    </row>
    <row r="5" spans="1:12" x14ac:dyDescent="0.25">
      <c r="A5" t="str" cm="1">
        <f t="array" ref="A5">INDEX({"3 Series","5 Series","7 Series","i3","i8","M3","M5","X1","X3","X5","X6"},MOD(ROW()-2,11)+1)</f>
        <v>i3</v>
      </c>
      <c r="B5">
        <v>2010</v>
      </c>
      <c r="C5" t="s">
        <v>24</v>
      </c>
      <c r="D5" t="s">
        <v>10</v>
      </c>
      <c r="E5" t="s">
        <v>22</v>
      </c>
      <c r="F5" t="s">
        <v>23</v>
      </c>
      <c r="G5" t="s">
        <v>19</v>
      </c>
      <c r="H5">
        <v>2</v>
      </c>
      <c r="I5">
        <v>48920</v>
      </c>
      <c r="J5">
        <v>36190</v>
      </c>
      <c r="K5">
        <v>441</v>
      </c>
      <c r="L5" t="s">
        <v>20</v>
      </c>
    </row>
    <row r="6" spans="1:12" x14ac:dyDescent="0.25">
      <c r="A6" t="str" cm="1">
        <f t="array" ref="A6">INDEX({"3 Series","5 Series","7 Series","i3","i8","M3","M5","X1","X3","X5","X6"},MOD(ROW()-2,11)+1)</f>
        <v>i8</v>
      </c>
      <c r="B6">
        <v>2010</v>
      </c>
      <c r="C6" t="s">
        <v>25</v>
      </c>
      <c r="D6" t="s">
        <v>26</v>
      </c>
      <c r="E6" t="s">
        <v>11</v>
      </c>
      <c r="F6" t="s">
        <v>23</v>
      </c>
      <c r="G6" t="s">
        <v>19</v>
      </c>
      <c r="H6">
        <v>2</v>
      </c>
      <c r="I6">
        <v>94082</v>
      </c>
      <c r="J6">
        <v>38771</v>
      </c>
      <c r="K6">
        <v>3102</v>
      </c>
      <c r="L6" t="s">
        <v>20</v>
      </c>
    </row>
    <row r="7" spans="1:12" x14ac:dyDescent="0.25">
      <c r="A7" t="str" cm="1">
        <f t="array" ref="A7">INDEX({"3 Series","5 Series","7 Series","i3","i8","M3","M5","X1","X3","X5","X6"},MOD(ROW()-2,11)+1)</f>
        <v>M3</v>
      </c>
      <c r="B7">
        <v>2010</v>
      </c>
      <c r="C7" t="s">
        <v>27</v>
      </c>
      <c r="D7" t="s">
        <v>10</v>
      </c>
      <c r="E7" t="s">
        <v>28</v>
      </c>
      <c r="F7" t="s">
        <v>18</v>
      </c>
      <c r="G7" t="s">
        <v>13</v>
      </c>
      <c r="H7">
        <v>2.5</v>
      </c>
      <c r="I7">
        <v>38578</v>
      </c>
      <c r="J7">
        <v>20906</v>
      </c>
      <c r="K7">
        <v>3638</v>
      </c>
      <c r="L7" t="s">
        <v>20</v>
      </c>
    </row>
    <row r="8" spans="1:12" x14ac:dyDescent="0.25">
      <c r="A8" t="str" cm="1">
        <f t="array" ref="A8">INDEX({"3 Series","5 Series","7 Series","i3","i8","M3","M5","X1","X3","X5","X6"},MOD(ROW()-2,11)+1)</f>
        <v>M5</v>
      </c>
      <c r="B8">
        <v>2010</v>
      </c>
      <c r="C8" t="s">
        <v>29</v>
      </c>
      <c r="D8" t="s">
        <v>10</v>
      </c>
      <c r="E8" t="s">
        <v>11</v>
      </c>
      <c r="F8" t="s">
        <v>12</v>
      </c>
      <c r="G8" t="s">
        <v>19</v>
      </c>
      <c r="H8">
        <v>3</v>
      </c>
      <c r="I8">
        <v>89206</v>
      </c>
      <c r="J8">
        <v>32165</v>
      </c>
      <c r="K8">
        <v>2294</v>
      </c>
      <c r="L8" t="s">
        <v>30</v>
      </c>
    </row>
    <row r="9" spans="1:12" x14ac:dyDescent="0.25">
      <c r="A9" t="str" cm="1">
        <f t="array" ref="A9">INDEX({"3 Series","5 Series","7 Series","i3","i8","M3","M5","X1","X3","X5","X6"},MOD(ROW()-2,11)+1)</f>
        <v>X1</v>
      </c>
      <c r="B9">
        <v>2010</v>
      </c>
      <c r="C9" t="s">
        <v>31</v>
      </c>
      <c r="D9" t="s">
        <v>16</v>
      </c>
      <c r="E9" t="s">
        <v>32</v>
      </c>
      <c r="F9" t="s">
        <v>12</v>
      </c>
      <c r="G9" t="s">
        <v>19</v>
      </c>
      <c r="H9">
        <v>2.5</v>
      </c>
      <c r="I9">
        <v>58454</v>
      </c>
      <c r="J9">
        <v>40333</v>
      </c>
      <c r="K9">
        <v>2634</v>
      </c>
      <c r="L9" t="s">
        <v>20</v>
      </c>
    </row>
    <row r="10" spans="1:12" x14ac:dyDescent="0.25">
      <c r="A10" t="str" cm="1">
        <f t="array" ref="A10">INDEX({"3 Series","5 Series","7 Series","i3","i8","M3","M5","X1","X3","X5","X6"},MOD(ROW()-2,11)+1)</f>
        <v>X3</v>
      </c>
      <c r="B10">
        <v>2010</v>
      </c>
      <c r="C10" t="s">
        <v>33</v>
      </c>
      <c r="D10" t="s">
        <v>16</v>
      </c>
      <c r="E10" t="s">
        <v>28</v>
      </c>
      <c r="F10" t="s">
        <v>23</v>
      </c>
      <c r="G10" t="s">
        <v>19</v>
      </c>
      <c r="H10">
        <v>2</v>
      </c>
      <c r="I10">
        <v>100893</v>
      </c>
      <c r="J10">
        <v>19521</v>
      </c>
      <c r="K10">
        <v>3948</v>
      </c>
      <c r="L10" t="s">
        <v>14</v>
      </c>
    </row>
    <row r="11" spans="1:12" x14ac:dyDescent="0.25">
      <c r="A11" t="str" cm="1">
        <f t="array" ref="A11">INDEX({"3 Series","5 Series","7 Series","i3","i8","M3","M5","X1","X3","X5","X6"},MOD(ROW()-2,11)+1)</f>
        <v>X5</v>
      </c>
      <c r="B11">
        <v>2010</v>
      </c>
      <c r="C11" t="s">
        <v>34</v>
      </c>
      <c r="D11" t="s">
        <v>10</v>
      </c>
      <c r="E11" t="s">
        <v>11</v>
      </c>
      <c r="F11" t="s">
        <v>18</v>
      </c>
      <c r="G11" t="s">
        <v>19</v>
      </c>
      <c r="H11">
        <v>3</v>
      </c>
      <c r="I11">
        <v>85216</v>
      </c>
      <c r="J11">
        <v>29005</v>
      </c>
      <c r="K11">
        <v>3313</v>
      </c>
      <c r="L11" t="s">
        <v>14</v>
      </c>
    </row>
    <row r="12" spans="1:12" x14ac:dyDescent="0.25">
      <c r="A12" t="str" cm="1">
        <f t="array" ref="A12">INDEX({"3 Series","5 Series","7 Series","i3","i8","M3","M5","X1","X3","X5","X6"},MOD(ROW()-2,11)+1)</f>
        <v>X6</v>
      </c>
      <c r="B12">
        <v>2010</v>
      </c>
      <c r="C12" t="s">
        <v>35</v>
      </c>
      <c r="D12" t="s">
        <v>26</v>
      </c>
      <c r="E12" t="s">
        <v>28</v>
      </c>
      <c r="F12" t="s">
        <v>23</v>
      </c>
      <c r="G12" t="s">
        <v>13</v>
      </c>
      <c r="H12">
        <v>2.5</v>
      </c>
      <c r="I12">
        <v>97054</v>
      </c>
      <c r="J12">
        <v>36175</v>
      </c>
      <c r="K12">
        <v>2892</v>
      </c>
      <c r="L12" t="s">
        <v>20</v>
      </c>
    </row>
    <row r="13" spans="1:12" x14ac:dyDescent="0.25">
      <c r="A13" t="str" cm="1">
        <f t="array" ref="A13">INDEX({"3 Series","5 Series","7 Series","i3","i8","M3","M5","X1","X3","X5","X6"},MOD(ROW()-2,11)+1)</f>
        <v>3 Series</v>
      </c>
      <c r="B13">
        <v>2010</v>
      </c>
      <c r="C13" t="s">
        <v>36</v>
      </c>
      <c r="D13" t="s">
        <v>10</v>
      </c>
      <c r="E13" t="s">
        <v>11</v>
      </c>
      <c r="F13" t="s">
        <v>37</v>
      </c>
      <c r="G13" t="s">
        <v>19</v>
      </c>
      <c r="H13">
        <v>3</v>
      </c>
      <c r="I13">
        <v>66289</v>
      </c>
      <c r="J13">
        <v>20971</v>
      </c>
      <c r="K13">
        <v>3877</v>
      </c>
      <c r="L13" t="s">
        <v>20</v>
      </c>
    </row>
    <row r="14" spans="1:12" x14ac:dyDescent="0.25">
      <c r="A14" t="str" cm="1">
        <f t="array" ref="A14">INDEX({"3 Series","5 Series","7 Series","i3","i8","M3","M5","X1","X3","X5","X6"},MOD(ROW()-2,11)+1)</f>
        <v>5 Series</v>
      </c>
      <c r="B14">
        <v>2011</v>
      </c>
      <c r="C14" t="s">
        <v>9</v>
      </c>
      <c r="D14" t="s">
        <v>26</v>
      </c>
      <c r="E14" t="s">
        <v>38</v>
      </c>
      <c r="F14" t="s">
        <v>37</v>
      </c>
      <c r="G14" t="s">
        <v>19</v>
      </c>
      <c r="H14">
        <v>2.5</v>
      </c>
      <c r="I14">
        <v>74167</v>
      </c>
      <c r="J14">
        <v>26374</v>
      </c>
      <c r="K14">
        <v>4409</v>
      </c>
      <c r="L14" t="s">
        <v>14</v>
      </c>
    </row>
    <row r="15" spans="1:12" x14ac:dyDescent="0.25">
      <c r="A15" t="str" cm="1">
        <f t="array" ref="A15">INDEX({"3 Series","5 Series","7 Series","i3","i8","M3","M5","X1","X3","X5","X6"},MOD(ROW()-2,11)+1)</f>
        <v>7 Series</v>
      </c>
      <c r="B15">
        <v>2011</v>
      </c>
      <c r="C15" t="s">
        <v>15</v>
      </c>
      <c r="D15" t="s">
        <v>16</v>
      </c>
      <c r="E15" t="s">
        <v>22</v>
      </c>
      <c r="F15" t="s">
        <v>23</v>
      </c>
      <c r="G15" t="s">
        <v>13</v>
      </c>
      <c r="H15">
        <v>3</v>
      </c>
      <c r="I15">
        <v>31190</v>
      </c>
      <c r="J15">
        <v>24577</v>
      </c>
      <c r="K15">
        <v>4411</v>
      </c>
      <c r="L15" t="s">
        <v>20</v>
      </c>
    </row>
    <row r="16" spans="1:12" x14ac:dyDescent="0.25">
      <c r="A16" t="str" cm="1">
        <f t="array" ref="A16">INDEX({"3 Series","5 Series","7 Series","i3","i8","M3","M5","X1","X3","X5","X6"},MOD(ROW()-2,11)+1)</f>
        <v>i3</v>
      </c>
      <c r="B16">
        <v>2011</v>
      </c>
      <c r="C16" t="s">
        <v>21</v>
      </c>
      <c r="D16" t="s">
        <v>26</v>
      </c>
      <c r="E16" t="s">
        <v>22</v>
      </c>
      <c r="F16" t="s">
        <v>37</v>
      </c>
      <c r="G16" t="s">
        <v>19</v>
      </c>
      <c r="H16">
        <v>2</v>
      </c>
      <c r="I16">
        <v>40581</v>
      </c>
      <c r="J16">
        <v>15861</v>
      </c>
      <c r="K16">
        <v>4659</v>
      </c>
      <c r="L16" t="s">
        <v>30</v>
      </c>
    </row>
    <row r="17" spans="1:12" x14ac:dyDescent="0.25">
      <c r="A17" t="str" cm="1">
        <f t="array" ref="A17">INDEX({"3 Series","5 Series","7 Series","i3","i8","M3","M5","X1","X3","X5","X6"},MOD(ROW()-2,11)+1)</f>
        <v>i8</v>
      </c>
      <c r="B17">
        <v>2011</v>
      </c>
      <c r="C17" t="s">
        <v>24</v>
      </c>
      <c r="D17" t="s">
        <v>26</v>
      </c>
      <c r="E17" t="s">
        <v>22</v>
      </c>
      <c r="F17" t="s">
        <v>37</v>
      </c>
      <c r="G17" t="s">
        <v>13</v>
      </c>
      <c r="H17">
        <v>3</v>
      </c>
      <c r="I17">
        <v>108854</v>
      </c>
      <c r="J17">
        <v>24549</v>
      </c>
      <c r="K17">
        <v>2063</v>
      </c>
      <c r="L17" t="s">
        <v>20</v>
      </c>
    </row>
    <row r="18" spans="1:12" x14ac:dyDescent="0.25">
      <c r="A18" t="str" cm="1">
        <f t="array" ref="A18">INDEX({"3 Series","5 Series","7 Series","i3","i8","M3","M5","X1","X3","X5","X6"},MOD(ROW()-2,11)+1)</f>
        <v>M3</v>
      </c>
      <c r="B18">
        <v>2011</v>
      </c>
      <c r="C18" t="s">
        <v>25</v>
      </c>
      <c r="D18" t="s">
        <v>16</v>
      </c>
      <c r="E18" t="s">
        <v>28</v>
      </c>
      <c r="F18" t="s">
        <v>37</v>
      </c>
      <c r="G18" t="s">
        <v>19</v>
      </c>
      <c r="H18">
        <v>2</v>
      </c>
      <c r="I18">
        <v>53865</v>
      </c>
      <c r="J18">
        <v>24409</v>
      </c>
      <c r="K18">
        <v>2947</v>
      </c>
      <c r="L18" t="s">
        <v>20</v>
      </c>
    </row>
    <row r="19" spans="1:12" x14ac:dyDescent="0.25">
      <c r="A19" t="str" cm="1">
        <f t="array" ref="A19">INDEX({"3 Series","5 Series","7 Series","i3","i8","M3","M5","X1","X3","X5","X6"},MOD(ROW()-2,11)+1)</f>
        <v>M5</v>
      </c>
      <c r="B19">
        <v>2011</v>
      </c>
      <c r="C19" t="s">
        <v>27</v>
      </c>
      <c r="D19" t="s">
        <v>26</v>
      </c>
      <c r="E19" t="s">
        <v>22</v>
      </c>
      <c r="F19" t="s">
        <v>23</v>
      </c>
      <c r="G19" t="s">
        <v>13</v>
      </c>
      <c r="H19">
        <v>2.5</v>
      </c>
      <c r="I19">
        <v>43321</v>
      </c>
      <c r="J19">
        <v>36103</v>
      </c>
      <c r="K19">
        <v>2432</v>
      </c>
      <c r="L19" t="s">
        <v>14</v>
      </c>
    </row>
    <row r="20" spans="1:12" x14ac:dyDescent="0.25">
      <c r="A20" t="str" cm="1">
        <f t="array" ref="A20">INDEX({"3 Series","5 Series","7 Series","i3","i8","M3","M5","X1","X3","X5","X6"},MOD(ROW()-2,11)+1)</f>
        <v>X1</v>
      </c>
      <c r="B20">
        <v>2011</v>
      </c>
      <c r="C20" t="s">
        <v>29</v>
      </c>
      <c r="D20" t="s">
        <v>10</v>
      </c>
      <c r="E20" t="s">
        <v>32</v>
      </c>
      <c r="F20" t="s">
        <v>23</v>
      </c>
      <c r="G20" t="s">
        <v>19</v>
      </c>
      <c r="H20">
        <v>2.5</v>
      </c>
      <c r="I20">
        <v>68831</v>
      </c>
      <c r="J20">
        <v>24321</v>
      </c>
      <c r="K20">
        <v>2358</v>
      </c>
      <c r="L20" t="s">
        <v>20</v>
      </c>
    </row>
    <row r="21" spans="1:12" x14ac:dyDescent="0.25">
      <c r="A21" t="str" cm="1">
        <f t="array" ref="A21">INDEX({"3 Series","5 Series","7 Series","i3","i8","M3","M5","X1","X3","X5","X6"},MOD(ROW()-2,11)+1)</f>
        <v>X3</v>
      </c>
      <c r="B21">
        <v>2011</v>
      </c>
      <c r="C21" t="s">
        <v>31</v>
      </c>
      <c r="D21" t="s">
        <v>10</v>
      </c>
      <c r="E21" t="s">
        <v>22</v>
      </c>
      <c r="F21" t="s">
        <v>37</v>
      </c>
      <c r="G21" t="s">
        <v>13</v>
      </c>
      <c r="H21">
        <v>2.5</v>
      </c>
      <c r="I21">
        <v>56199</v>
      </c>
      <c r="J21">
        <v>34032</v>
      </c>
      <c r="K21">
        <v>4545</v>
      </c>
      <c r="L21" t="s">
        <v>14</v>
      </c>
    </row>
    <row r="22" spans="1:12" x14ac:dyDescent="0.25">
      <c r="A22" t="str" cm="1">
        <f t="array" ref="A22">INDEX({"3 Series","5 Series","7 Series","i3","i8","M3","M5","X1","X3","X5","X6"},MOD(ROW()-2,11)+1)</f>
        <v>X5</v>
      </c>
      <c r="B22">
        <v>2011</v>
      </c>
      <c r="C22" t="s">
        <v>33</v>
      </c>
      <c r="D22" t="s">
        <v>10</v>
      </c>
      <c r="E22" t="s">
        <v>32</v>
      </c>
      <c r="F22" t="s">
        <v>18</v>
      </c>
      <c r="G22" t="s">
        <v>13</v>
      </c>
      <c r="H22">
        <v>3</v>
      </c>
      <c r="I22">
        <v>60125</v>
      </c>
      <c r="J22">
        <v>33854</v>
      </c>
      <c r="K22">
        <v>531</v>
      </c>
      <c r="L22" t="s">
        <v>30</v>
      </c>
    </row>
    <row r="23" spans="1:12" x14ac:dyDescent="0.25">
      <c r="A23" t="str" cm="1">
        <f t="array" ref="A23">INDEX({"3 Series","5 Series","7 Series","i3","i8","M3","M5","X1","X3","X5","X6"},MOD(ROW()-2,11)+1)</f>
        <v>X6</v>
      </c>
      <c r="B23">
        <v>2011</v>
      </c>
      <c r="C23" t="s">
        <v>34</v>
      </c>
      <c r="D23" t="s">
        <v>26</v>
      </c>
      <c r="E23" t="s">
        <v>17</v>
      </c>
      <c r="F23" t="s">
        <v>23</v>
      </c>
      <c r="G23" t="s">
        <v>13</v>
      </c>
      <c r="H23">
        <v>3</v>
      </c>
      <c r="I23">
        <v>104626</v>
      </c>
      <c r="J23">
        <v>24395</v>
      </c>
      <c r="K23">
        <v>577</v>
      </c>
      <c r="L23" t="s">
        <v>30</v>
      </c>
    </row>
    <row r="24" spans="1:12" x14ac:dyDescent="0.25">
      <c r="A24" t="str" cm="1">
        <f t="array" ref="A24">INDEX({"3 Series","5 Series","7 Series","i3","i8","M3","M5","X1","X3","X5","X6"},MOD(ROW()-2,11)+1)</f>
        <v>3 Series</v>
      </c>
      <c r="B24">
        <v>2011</v>
      </c>
      <c r="C24" t="s">
        <v>35</v>
      </c>
      <c r="D24" t="s">
        <v>16</v>
      </c>
      <c r="E24" t="s">
        <v>38</v>
      </c>
      <c r="F24" t="s">
        <v>23</v>
      </c>
      <c r="G24" t="s">
        <v>19</v>
      </c>
      <c r="H24">
        <v>2</v>
      </c>
      <c r="I24">
        <v>50892</v>
      </c>
      <c r="J24">
        <v>24984</v>
      </c>
      <c r="K24">
        <v>2993</v>
      </c>
      <c r="L24" t="s">
        <v>30</v>
      </c>
    </row>
    <row r="25" spans="1:12" x14ac:dyDescent="0.25">
      <c r="A25" t="str" cm="1">
        <f t="array" ref="A25">INDEX({"3 Series","5 Series","7 Series","i3","i8","M3","M5","X1","X3","X5","X6"},MOD(ROW()-2,11)+1)</f>
        <v>5 Series</v>
      </c>
      <c r="B25">
        <v>2011</v>
      </c>
      <c r="C25" t="s">
        <v>36</v>
      </c>
      <c r="D25" t="s">
        <v>10</v>
      </c>
      <c r="E25" t="s">
        <v>22</v>
      </c>
      <c r="F25" t="s">
        <v>18</v>
      </c>
      <c r="G25" t="s">
        <v>19</v>
      </c>
      <c r="H25">
        <v>2.5</v>
      </c>
      <c r="I25">
        <v>60500</v>
      </c>
      <c r="J25">
        <v>27268</v>
      </c>
      <c r="K25">
        <v>4635</v>
      </c>
      <c r="L25" t="s">
        <v>20</v>
      </c>
    </row>
    <row r="26" spans="1:12" x14ac:dyDescent="0.25">
      <c r="A26" t="str" cm="1">
        <f t="array" ref="A26">INDEX({"3 Series","5 Series","7 Series","i3","i8","M3","M5","X1","X3","X5","X6"},MOD(ROW()-2,11)+1)</f>
        <v>7 Series</v>
      </c>
      <c r="B26">
        <v>2012</v>
      </c>
      <c r="C26" t="s">
        <v>9</v>
      </c>
      <c r="D26" t="s">
        <v>10</v>
      </c>
      <c r="E26" t="s">
        <v>32</v>
      </c>
      <c r="F26" t="s">
        <v>23</v>
      </c>
      <c r="G26" t="s">
        <v>13</v>
      </c>
      <c r="H26">
        <v>2.5</v>
      </c>
      <c r="I26">
        <v>85699</v>
      </c>
      <c r="J26">
        <v>34723</v>
      </c>
      <c r="K26">
        <v>754</v>
      </c>
      <c r="L26" t="s">
        <v>14</v>
      </c>
    </row>
    <row r="27" spans="1:12" x14ac:dyDescent="0.25">
      <c r="A27" t="str" cm="1">
        <f t="array" ref="A27">INDEX({"3 Series","5 Series","7 Series","i3","i8","M3","M5","X1","X3","X5","X6"},MOD(ROW()-2,11)+1)</f>
        <v>i3</v>
      </c>
      <c r="B27">
        <v>2012</v>
      </c>
      <c r="C27" t="s">
        <v>15</v>
      </c>
      <c r="D27" t="s">
        <v>26</v>
      </c>
      <c r="E27" t="s">
        <v>28</v>
      </c>
      <c r="F27" t="s">
        <v>18</v>
      </c>
      <c r="G27" t="s">
        <v>19</v>
      </c>
      <c r="H27">
        <v>2.5</v>
      </c>
      <c r="I27">
        <v>66949</v>
      </c>
      <c r="J27">
        <v>37239</v>
      </c>
      <c r="K27">
        <v>655</v>
      </c>
      <c r="L27" t="s">
        <v>30</v>
      </c>
    </row>
    <row r="28" spans="1:12" x14ac:dyDescent="0.25">
      <c r="A28" t="str" cm="1">
        <f t="array" ref="A28">INDEX({"3 Series","5 Series","7 Series","i3","i8","M3","M5","X1","X3","X5","X6"},MOD(ROW()-2,11)+1)</f>
        <v>i8</v>
      </c>
      <c r="B28">
        <v>2012</v>
      </c>
      <c r="C28" t="s">
        <v>21</v>
      </c>
      <c r="D28" t="s">
        <v>26</v>
      </c>
      <c r="E28" t="s">
        <v>28</v>
      </c>
      <c r="F28" t="s">
        <v>23</v>
      </c>
      <c r="G28" t="s">
        <v>19</v>
      </c>
      <c r="H28">
        <v>2</v>
      </c>
      <c r="I28">
        <v>36201</v>
      </c>
      <c r="J28">
        <v>21512</v>
      </c>
      <c r="K28">
        <v>1265</v>
      </c>
      <c r="L28" t="s">
        <v>30</v>
      </c>
    </row>
    <row r="29" spans="1:12" x14ac:dyDescent="0.25">
      <c r="A29" t="str" cm="1">
        <f t="array" ref="A29">INDEX({"3 Series","5 Series","7 Series","i3","i8","M3","M5","X1","X3","X5","X6"},MOD(ROW()-2,11)+1)</f>
        <v>M3</v>
      </c>
      <c r="B29">
        <v>2012</v>
      </c>
      <c r="C29" t="s">
        <v>24</v>
      </c>
      <c r="D29" t="s">
        <v>16</v>
      </c>
      <c r="E29" t="s">
        <v>28</v>
      </c>
      <c r="F29" t="s">
        <v>37</v>
      </c>
      <c r="G29" t="s">
        <v>13</v>
      </c>
      <c r="H29">
        <v>2</v>
      </c>
      <c r="I29">
        <v>86025</v>
      </c>
      <c r="J29">
        <v>37596</v>
      </c>
      <c r="K29">
        <v>471</v>
      </c>
      <c r="L29" t="s">
        <v>30</v>
      </c>
    </row>
    <row r="30" spans="1:12" x14ac:dyDescent="0.25">
      <c r="A30" t="str" cm="1">
        <f t="array" ref="A30">INDEX({"3 Series","5 Series","7 Series","i3","i8","M3","M5","X1","X3","X5","X6"},MOD(ROW()-2,11)+1)</f>
        <v>M5</v>
      </c>
      <c r="B30">
        <v>2012</v>
      </c>
      <c r="C30" t="s">
        <v>25</v>
      </c>
      <c r="D30" t="s">
        <v>10</v>
      </c>
      <c r="E30" t="s">
        <v>32</v>
      </c>
      <c r="F30" t="s">
        <v>23</v>
      </c>
      <c r="G30" t="s">
        <v>13</v>
      </c>
      <c r="H30">
        <v>3</v>
      </c>
      <c r="I30">
        <v>98179</v>
      </c>
      <c r="J30">
        <v>16300</v>
      </c>
      <c r="K30">
        <v>2007</v>
      </c>
      <c r="L30" t="s">
        <v>30</v>
      </c>
    </row>
    <row r="31" spans="1:12" x14ac:dyDescent="0.25">
      <c r="A31" t="str" cm="1">
        <f t="array" ref="A31">INDEX({"3 Series","5 Series","7 Series","i3","i8","M3","M5","X1","X3","X5","X6"},MOD(ROW()-2,11)+1)</f>
        <v>X1</v>
      </c>
      <c r="B31">
        <v>2012</v>
      </c>
      <c r="C31" t="s">
        <v>27</v>
      </c>
      <c r="D31" t="s">
        <v>10</v>
      </c>
      <c r="E31" t="s">
        <v>11</v>
      </c>
      <c r="F31" t="s">
        <v>23</v>
      </c>
      <c r="G31" t="s">
        <v>13</v>
      </c>
      <c r="H31">
        <v>2</v>
      </c>
      <c r="I31">
        <v>44516</v>
      </c>
      <c r="J31">
        <v>44386</v>
      </c>
      <c r="K31">
        <v>3899</v>
      </c>
      <c r="L31" t="s">
        <v>14</v>
      </c>
    </row>
    <row r="32" spans="1:12" x14ac:dyDescent="0.25">
      <c r="A32" t="str" cm="1">
        <f t="array" ref="A32">INDEX({"3 Series","5 Series","7 Series","i3","i8","M3","M5","X1","X3","X5","X6"},MOD(ROW()-2,11)+1)</f>
        <v>X3</v>
      </c>
      <c r="B32">
        <v>2012</v>
      </c>
      <c r="C32" t="s">
        <v>29</v>
      </c>
      <c r="D32" t="s">
        <v>10</v>
      </c>
      <c r="E32" t="s">
        <v>28</v>
      </c>
      <c r="F32" t="s">
        <v>12</v>
      </c>
      <c r="G32" t="s">
        <v>19</v>
      </c>
      <c r="H32">
        <v>3</v>
      </c>
      <c r="I32">
        <v>107122</v>
      </c>
      <c r="J32">
        <v>15939</v>
      </c>
      <c r="K32">
        <v>4883</v>
      </c>
      <c r="L32" t="s">
        <v>14</v>
      </c>
    </row>
    <row r="33" spans="1:12" x14ac:dyDescent="0.25">
      <c r="A33" t="str" cm="1">
        <f t="array" ref="A33">INDEX({"3 Series","5 Series","7 Series","i3","i8","M3","M5","X1","X3","X5","X6"},MOD(ROW()-2,11)+1)</f>
        <v>X5</v>
      </c>
      <c r="B33">
        <v>2012</v>
      </c>
      <c r="C33" t="s">
        <v>31</v>
      </c>
      <c r="D33" t="s">
        <v>16</v>
      </c>
      <c r="E33" t="s">
        <v>22</v>
      </c>
      <c r="F33" t="s">
        <v>37</v>
      </c>
      <c r="G33" t="s">
        <v>19</v>
      </c>
      <c r="H33">
        <v>2.5</v>
      </c>
      <c r="I33">
        <v>46357</v>
      </c>
      <c r="J33">
        <v>36567</v>
      </c>
      <c r="K33">
        <v>2997</v>
      </c>
      <c r="L33" t="s">
        <v>30</v>
      </c>
    </row>
    <row r="34" spans="1:12" x14ac:dyDescent="0.25">
      <c r="A34" t="str" cm="1">
        <f t="array" ref="A34">INDEX({"3 Series","5 Series","7 Series","i3","i8","M3","M5","X1","X3","X5","X6"},MOD(ROW()-2,11)+1)</f>
        <v>X6</v>
      </c>
      <c r="B34">
        <v>2012</v>
      </c>
      <c r="C34" t="s">
        <v>33</v>
      </c>
      <c r="D34" t="s">
        <v>10</v>
      </c>
      <c r="E34" t="s">
        <v>28</v>
      </c>
      <c r="F34" t="s">
        <v>12</v>
      </c>
      <c r="G34" t="s">
        <v>13</v>
      </c>
      <c r="H34">
        <v>2.5</v>
      </c>
      <c r="I34">
        <v>59516</v>
      </c>
      <c r="J34">
        <v>26640</v>
      </c>
      <c r="K34">
        <v>267</v>
      </c>
      <c r="L34" t="s">
        <v>30</v>
      </c>
    </row>
    <row r="35" spans="1:12" x14ac:dyDescent="0.25">
      <c r="A35" t="str" cm="1">
        <f t="array" ref="A35">INDEX({"3 Series","5 Series","7 Series","i3","i8","M3","M5","X1","X3","X5","X6"},MOD(ROW()-2,11)+1)</f>
        <v>3 Series</v>
      </c>
      <c r="B35">
        <v>2012</v>
      </c>
      <c r="C35" t="s">
        <v>34</v>
      </c>
      <c r="D35" t="s">
        <v>16</v>
      </c>
      <c r="E35" t="s">
        <v>32</v>
      </c>
      <c r="F35" t="s">
        <v>12</v>
      </c>
      <c r="G35" t="s">
        <v>19</v>
      </c>
      <c r="H35">
        <v>2</v>
      </c>
      <c r="I35">
        <v>66416</v>
      </c>
      <c r="J35">
        <v>29041</v>
      </c>
      <c r="K35">
        <v>4047</v>
      </c>
      <c r="L35" t="s">
        <v>30</v>
      </c>
    </row>
    <row r="36" spans="1:12" x14ac:dyDescent="0.25">
      <c r="A36" t="str" cm="1">
        <f t="array" ref="A36">INDEX({"3 Series","5 Series","7 Series","i3","i8","M3","M5","X1","X3","X5","X6"},MOD(ROW()-2,11)+1)</f>
        <v>5 Series</v>
      </c>
      <c r="B36">
        <v>2012</v>
      </c>
      <c r="C36" t="s">
        <v>35</v>
      </c>
      <c r="D36" t="s">
        <v>26</v>
      </c>
      <c r="E36" t="s">
        <v>28</v>
      </c>
      <c r="F36" t="s">
        <v>23</v>
      </c>
      <c r="G36" t="s">
        <v>19</v>
      </c>
      <c r="H36">
        <v>2</v>
      </c>
      <c r="I36">
        <v>49212</v>
      </c>
      <c r="J36">
        <v>37756</v>
      </c>
      <c r="K36">
        <v>2461</v>
      </c>
      <c r="L36" t="s">
        <v>30</v>
      </c>
    </row>
    <row r="37" spans="1:12" x14ac:dyDescent="0.25">
      <c r="A37" t="str" cm="1">
        <f t="array" ref="A37">INDEX({"3 Series","5 Series","7 Series","i3","i8","M3","M5","X1","X3","X5","X6"},MOD(ROW()-2,11)+1)</f>
        <v>7 Series</v>
      </c>
      <c r="B37">
        <v>2012</v>
      </c>
      <c r="C37" t="s">
        <v>36</v>
      </c>
      <c r="D37" t="s">
        <v>16</v>
      </c>
      <c r="E37" t="s">
        <v>32</v>
      </c>
      <c r="F37" t="s">
        <v>18</v>
      </c>
      <c r="G37" t="s">
        <v>13</v>
      </c>
      <c r="H37">
        <v>2.5</v>
      </c>
      <c r="I37">
        <v>112289</v>
      </c>
      <c r="J37">
        <v>20892</v>
      </c>
      <c r="K37">
        <v>4478</v>
      </c>
      <c r="L37" t="s">
        <v>14</v>
      </c>
    </row>
    <row r="38" spans="1:12" x14ac:dyDescent="0.25">
      <c r="A38" t="str" cm="1">
        <f t="array" ref="A38">INDEX({"3 Series","5 Series","7 Series","i3","i8","M3","M5","X1","X3","X5","X6"},MOD(ROW()-2,11)+1)</f>
        <v>i3</v>
      </c>
      <c r="B38">
        <v>2013</v>
      </c>
      <c r="C38" t="s">
        <v>9</v>
      </c>
      <c r="D38" t="s">
        <v>10</v>
      </c>
      <c r="E38" t="s">
        <v>38</v>
      </c>
      <c r="F38" t="s">
        <v>23</v>
      </c>
      <c r="G38" t="s">
        <v>13</v>
      </c>
      <c r="H38">
        <v>2.5</v>
      </c>
      <c r="I38">
        <v>46008</v>
      </c>
      <c r="J38">
        <v>27520</v>
      </c>
      <c r="K38">
        <v>1940</v>
      </c>
      <c r="L38" t="s">
        <v>20</v>
      </c>
    </row>
    <row r="39" spans="1:12" x14ac:dyDescent="0.25">
      <c r="A39" t="str" cm="1">
        <f t="array" ref="A39">INDEX({"3 Series","5 Series","7 Series","i3","i8","M3","M5","X1","X3","X5","X6"},MOD(ROW()-2,11)+1)</f>
        <v>i8</v>
      </c>
      <c r="B39">
        <v>2013</v>
      </c>
      <c r="C39" t="s">
        <v>15</v>
      </c>
      <c r="D39" t="s">
        <v>16</v>
      </c>
      <c r="E39" t="s">
        <v>32</v>
      </c>
      <c r="F39" t="s">
        <v>18</v>
      </c>
      <c r="G39" t="s">
        <v>19</v>
      </c>
      <c r="H39">
        <v>2.5</v>
      </c>
      <c r="I39">
        <v>34045</v>
      </c>
      <c r="J39">
        <v>44153</v>
      </c>
      <c r="K39">
        <v>1329</v>
      </c>
      <c r="L39" t="s">
        <v>30</v>
      </c>
    </row>
    <row r="40" spans="1:12" x14ac:dyDescent="0.25">
      <c r="A40" t="str" cm="1">
        <f t="array" ref="A40">INDEX({"3 Series","5 Series","7 Series","i3","i8","M3","M5","X1","X3","X5","X6"},MOD(ROW()-2,11)+1)</f>
        <v>M3</v>
      </c>
      <c r="B40">
        <v>2013</v>
      </c>
      <c r="C40" t="s">
        <v>21</v>
      </c>
      <c r="D40" t="s">
        <v>26</v>
      </c>
      <c r="E40" t="s">
        <v>22</v>
      </c>
      <c r="F40" t="s">
        <v>12</v>
      </c>
      <c r="G40" t="s">
        <v>13</v>
      </c>
      <c r="H40">
        <v>2.5</v>
      </c>
      <c r="I40">
        <v>60091</v>
      </c>
      <c r="J40">
        <v>39999</v>
      </c>
      <c r="K40">
        <v>2654</v>
      </c>
      <c r="L40" t="s">
        <v>14</v>
      </c>
    </row>
    <row r="41" spans="1:12" x14ac:dyDescent="0.25">
      <c r="A41" t="str" cm="1">
        <f t="array" ref="A41">INDEX({"3 Series","5 Series","7 Series","i3","i8","M3","M5","X1","X3","X5","X6"},MOD(ROW()-2,11)+1)</f>
        <v>M5</v>
      </c>
      <c r="B41">
        <v>2013</v>
      </c>
      <c r="C41" t="s">
        <v>24</v>
      </c>
      <c r="D41" t="s">
        <v>16</v>
      </c>
      <c r="E41" t="s">
        <v>11</v>
      </c>
      <c r="F41" t="s">
        <v>18</v>
      </c>
      <c r="G41" t="s">
        <v>13</v>
      </c>
      <c r="H41">
        <v>2</v>
      </c>
      <c r="I41">
        <v>70389</v>
      </c>
      <c r="J41">
        <v>43073</v>
      </c>
      <c r="K41">
        <v>599</v>
      </c>
      <c r="L41" t="s">
        <v>14</v>
      </c>
    </row>
    <row r="42" spans="1:12" x14ac:dyDescent="0.25">
      <c r="A42" t="str" cm="1">
        <f t="array" ref="A42">INDEX({"3 Series","5 Series","7 Series","i3","i8","M3","M5","X1","X3","X5","X6"},MOD(ROW()-2,11)+1)</f>
        <v>X1</v>
      </c>
      <c r="B42">
        <v>2013</v>
      </c>
      <c r="C42" t="s">
        <v>25</v>
      </c>
      <c r="D42" t="s">
        <v>10</v>
      </c>
      <c r="E42" t="s">
        <v>38</v>
      </c>
      <c r="F42" t="s">
        <v>37</v>
      </c>
      <c r="G42" t="s">
        <v>13</v>
      </c>
      <c r="H42">
        <v>2</v>
      </c>
      <c r="I42">
        <v>103871</v>
      </c>
      <c r="J42">
        <v>26171</v>
      </c>
      <c r="K42">
        <v>2923</v>
      </c>
      <c r="L42" t="s">
        <v>30</v>
      </c>
    </row>
    <row r="43" spans="1:12" x14ac:dyDescent="0.25">
      <c r="A43" t="str" cm="1">
        <f t="array" ref="A43">INDEX({"3 Series","5 Series","7 Series","i3","i8","M3","M5","X1","X3","X5","X6"},MOD(ROW()-2,11)+1)</f>
        <v>X3</v>
      </c>
      <c r="B43">
        <v>2013</v>
      </c>
      <c r="C43" t="s">
        <v>27</v>
      </c>
      <c r="D43" t="s">
        <v>10</v>
      </c>
      <c r="E43" t="s">
        <v>17</v>
      </c>
      <c r="F43" t="s">
        <v>18</v>
      </c>
      <c r="G43" t="s">
        <v>13</v>
      </c>
      <c r="H43">
        <v>3</v>
      </c>
      <c r="I43">
        <v>46048</v>
      </c>
      <c r="J43">
        <v>40488</v>
      </c>
      <c r="K43">
        <v>2198</v>
      </c>
      <c r="L43" t="s">
        <v>30</v>
      </c>
    </row>
    <row r="44" spans="1:12" x14ac:dyDescent="0.25">
      <c r="A44" t="str" cm="1">
        <f t="array" ref="A44">INDEX({"3 Series","5 Series","7 Series","i3","i8","M3","M5","X1","X3","X5","X6"},MOD(ROW()-2,11)+1)</f>
        <v>X5</v>
      </c>
      <c r="B44">
        <v>2013</v>
      </c>
      <c r="C44" t="s">
        <v>29</v>
      </c>
      <c r="D44" t="s">
        <v>16</v>
      </c>
      <c r="E44" t="s">
        <v>22</v>
      </c>
      <c r="F44" t="s">
        <v>12</v>
      </c>
      <c r="G44" t="s">
        <v>19</v>
      </c>
      <c r="H44">
        <v>2.5</v>
      </c>
      <c r="I44">
        <v>80150</v>
      </c>
      <c r="J44">
        <v>22415</v>
      </c>
      <c r="K44">
        <v>294</v>
      </c>
      <c r="L44" t="s">
        <v>20</v>
      </c>
    </row>
    <row r="45" spans="1:12" x14ac:dyDescent="0.25">
      <c r="A45" t="str" cm="1">
        <f t="array" ref="A45">INDEX({"3 Series","5 Series","7 Series","i3","i8","M3","M5","X1","X3","X5","X6"},MOD(ROW()-2,11)+1)</f>
        <v>X6</v>
      </c>
      <c r="B45">
        <v>2013</v>
      </c>
      <c r="C45" t="s">
        <v>31</v>
      </c>
      <c r="D45" t="s">
        <v>10</v>
      </c>
      <c r="E45" t="s">
        <v>11</v>
      </c>
      <c r="F45" t="s">
        <v>23</v>
      </c>
      <c r="G45" t="s">
        <v>13</v>
      </c>
      <c r="H45">
        <v>2</v>
      </c>
      <c r="I45">
        <v>26790</v>
      </c>
      <c r="J45">
        <v>25317</v>
      </c>
      <c r="K45">
        <v>3587</v>
      </c>
      <c r="L45" t="s">
        <v>20</v>
      </c>
    </row>
    <row r="46" spans="1:12" x14ac:dyDescent="0.25">
      <c r="A46" t="str" cm="1">
        <f t="array" ref="A46">INDEX({"3 Series","5 Series","7 Series","i3","i8","M3","M5","X1","X3","X5","X6"},MOD(ROW()-2,11)+1)</f>
        <v>3 Series</v>
      </c>
      <c r="B46">
        <v>2013</v>
      </c>
      <c r="C46" t="s">
        <v>33</v>
      </c>
      <c r="D46" t="s">
        <v>16</v>
      </c>
      <c r="E46" t="s">
        <v>32</v>
      </c>
      <c r="F46" t="s">
        <v>18</v>
      </c>
      <c r="G46" t="s">
        <v>13</v>
      </c>
      <c r="H46">
        <v>2</v>
      </c>
      <c r="I46">
        <v>113643</v>
      </c>
      <c r="J46">
        <v>21113</v>
      </c>
      <c r="K46">
        <v>4909</v>
      </c>
      <c r="L46" t="s">
        <v>14</v>
      </c>
    </row>
    <row r="47" spans="1:12" x14ac:dyDescent="0.25">
      <c r="A47" t="str" cm="1">
        <f t="array" ref="A47">INDEX({"3 Series","5 Series","7 Series","i3","i8","M3","M5","X1","X3","X5","X6"},MOD(ROW()-2,11)+1)</f>
        <v>5 Series</v>
      </c>
      <c r="B47">
        <v>2013</v>
      </c>
      <c r="C47" t="s">
        <v>34</v>
      </c>
      <c r="D47" t="s">
        <v>10</v>
      </c>
      <c r="E47" t="s">
        <v>11</v>
      </c>
      <c r="F47" t="s">
        <v>37</v>
      </c>
      <c r="G47" t="s">
        <v>13</v>
      </c>
      <c r="H47">
        <v>2.5</v>
      </c>
      <c r="I47">
        <v>93187</v>
      </c>
      <c r="J47">
        <v>44175</v>
      </c>
      <c r="K47">
        <v>3858</v>
      </c>
      <c r="L47" t="s">
        <v>14</v>
      </c>
    </row>
    <row r="48" spans="1:12" x14ac:dyDescent="0.25">
      <c r="A48" t="str" cm="1">
        <f t="array" ref="A48">INDEX({"3 Series","5 Series","7 Series","i3","i8","M3","M5","X1","X3","X5","X6"},MOD(ROW()-2,11)+1)</f>
        <v>7 Series</v>
      </c>
      <c r="B48">
        <v>2013</v>
      </c>
      <c r="C48" t="s">
        <v>35</v>
      </c>
      <c r="D48" t="s">
        <v>10</v>
      </c>
      <c r="E48" t="s">
        <v>32</v>
      </c>
      <c r="F48" t="s">
        <v>23</v>
      </c>
      <c r="G48" t="s">
        <v>13</v>
      </c>
      <c r="H48">
        <v>2</v>
      </c>
      <c r="I48">
        <v>89835</v>
      </c>
      <c r="J48">
        <v>36281</v>
      </c>
      <c r="K48">
        <v>3980</v>
      </c>
      <c r="L48" t="s">
        <v>14</v>
      </c>
    </row>
    <row r="49" spans="1:12" x14ac:dyDescent="0.25">
      <c r="A49" t="str" cm="1">
        <f t="array" ref="A49">INDEX({"3 Series","5 Series","7 Series","i3","i8","M3","M5","X1","X3","X5","X6"},MOD(ROW()-2,11)+1)</f>
        <v>i3</v>
      </c>
      <c r="B49">
        <v>2013</v>
      </c>
      <c r="C49" t="s">
        <v>36</v>
      </c>
      <c r="D49" t="s">
        <v>10</v>
      </c>
      <c r="E49" t="s">
        <v>17</v>
      </c>
      <c r="F49" t="s">
        <v>12</v>
      </c>
      <c r="G49" t="s">
        <v>13</v>
      </c>
      <c r="H49">
        <v>3</v>
      </c>
      <c r="I49">
        <v>57073</v>
      </c>
      <c r="J49">
        <v>24166</v>
      </c>
      <c r="K49">
        <v>1616</v>
      </c>
      <c r="L49" t="s">
        <v>30</v>
      </c>
    </row>
    <row r="50" spans="1:12" x14ac:dyDescent="0.25">
      <c r="A50" t="str" cm="1">
        <f t="array" ref="A50">INDEX({"3 Series","5 Series","7 Series","i3","i8","M3","M5","X1","X3","X5","X6"},MOD(ROW()-2,11)+1)</f>
        <v>i8</v>
      </c>
      <c r="B50">
        <v>2014</v>
      </c>
      <c r="C50" t="s">
        <v>9</v>
      </c>
      <c r="D50" t="s">
        <v>26</v>
      </c>
      <c r="E50" t="s">
        <v>38</v>
      </c>
      <c r="F50" t="s">
        <v>12</v>
      </c>
      <c r="G50" t="s">
        <v>19</v>
      </c>
      <c r="H50">
        <v>3</v>
      </c>
      <c r="I50">
        <v>64455</v>
      </c>
      <c r="J50">
        <v>29083</v>
      </c>
      <c r="K50">
        <v>2773</v>
      </c>
      <c r="L50" t="s">
        <v>20</v>
      </c>
    </row>
    <row r="51" spans="1:12" x14ac:dyDescent="0.25">
      <c r="A51" t="str" cm="1">
        <f t="array" ref="A51">INDEX({"3 Series","5 Series","7 Series","i3","i8","M3","M5","X1","X3","X5","X6"},MOD(ROW()-2,11)+1)</f>
        <v>M3</v>
      </c>
      <c r="B51">
        <v>2014</v>
      </c>
      <c r="C51" t="s">
        <v>15</v>
      </c>
      <c r="D51" t="s">
        <v>26</v>
      </c>
      <c r="E51" t="s">
        <v>32</v>
      </c>
      <c r="F51" t="s">
        <v>18</v>
      </c>
      <c r="G51" t="s">
        <v>13</v>
      </c>
      <c r="H51">
        <v>2.5</v>
      </c>
      <c r="I51">
        <v>92993</v>
      </c>
      <c r="J51">
        <v>33549</v>
      </c>
      <c r="K51">
        <v>1611</v>
      </c>
      <c r="L51" t="s">
        <v>30</v>
      </c>
    </row>
    <row r="52" spans="1:12" x14ac:dyDescent="0.25">
      <c r="A52" t="str" cm="1">
        <f t="array" ref="A52">INDEX({"3 Series","5 Series","7 Series","i3","i8","M3","M5","X1","X3","X5","X6"},MOD(ROW()-2,11)+1)</f>
        <v>M5</v>
      </c>
      <c r="B52">
        <v>2014</v>
      </c>
      <c r="C52" t="s">
        <v>21</v>
      </c>
      <c r="D52" t="s">
        <v>26</v>
      </c>
      <c r="E52" t="s">
        <v>38</v>
      </c>
      <c r="F52" t="s">
        <v>12</v>
      </c>
      <c r="G52" t="s">
        <v>19</v>
      </c>
      <c r="H52">
        <v>2.5</v>
      </c>
      <c r="I52">
        <v>91981</v>
      </c>
      <c r="J52">
        <v>38958</v>
      </c>
      <c r="K52">
        <v>4629</v>
      </c>
      <c r="L52" t="s">
        <v>20</v>
      </c>
    </row>
    <row r="53" spans="1:12" x14ac:dyDescent="0.25">
      <c r="A53" t="str" cm="1">
        <f t="array" ref="A53">INDEX({"3 Series","5 Series","7 Series","i3","i8","M3","M5","X1","X3","X5","X6"},MOD(ROW()-2,11)+1)</f>
        <v>X1</v>
      </c>
      <c r="B53">
        <v>2014</v>
      </c>
      <c r="C53" t="s">
        <v>24</v>
      </c>
      <c r="D53" t="s">
        <v>26</v>
      </c>
      <c r="E53" t="s">
        <v>11</v>
      </c>
      <c r="F53" t="s">
        <v>37</v>
      </c>
      <c r="G53" t="s">
        <v>19</v>
      </c>
      <c r="H53">
        <v>2</v>
      </c>
      <c r="I53">
        <v>87878</v>
      </c>
      <c r="J53">
        <v>43691</v>
      </c>
      <c r="K53">
        <v>2717</v>
      </c>
      <c r="L53" t="s">
        <v>14</v>
      </c>
    </row>
    <row r="54" spans="1:12" x14ac:dyDescent="0.25">
      <c r="A54" t="str" cm="1">
        <f t="array" ref="A54">INDEX({"3 Series","5 Series","7 Series","i3","i8","M3","M5","X1","X3","X5","X6"},MOD(ROW()-2,11)+1)</f>
        <v>X3</v>
      </c>
      <c r="B54">
        <v>2014</v>
      </c>
      <c r="C54" t="s">
        <v>25</v>
      </c>
      <c r="D54" t="s">
        <v>16</v>
      </c>
      <c r="E54" t="s">
        <v>22</v>
      </c>
      <c r="F54" t="s">
        <v>23</v>
      </c>
      <c r="G54" t="s">
        <v>19</v>
      </c>
      <c r="H54">
        <v>3</v>
      </c>
      <c r="I54">
        <v>57603</v>
      </c>
      <c r="J54">
        <v>44382</v>
      </c>
      <c r="K54">
        <v>2529</v>
      </c>
      <c r="L54" t="s">
        <v>20</v>
      </c>
    </row>
    <row r="55" spans="1:12" x14ac:dyDescent="0.25">
      <c r="A55" t="str" cm="1">
        <f t="array" ref="A55">INDEX({"3 Series","5 Series","7 Series","i3","i8","M3","M5","X1","X3","X5","X6"},MOD(ROW()-2,11)+1)</f>
        <v>X5</v>
      </c>
      <c r="B55">
        <v>2014</v>
      </c>
      <c r="C55" t="s">
        <v>27</v>
      </c>
      <c r="D55" t="s">
        <v>10</v>
      </c>
      <c r="E55" t="s">
        <v>28</v>
      </c>
      <c r="F55" t="s">
        <v>12</v>
      </c>
      <c r="G55" t="s">
        <v>13</v>
      </c>
      <c r="H55">
        <v>2.5</v>
      </c>
      <c r="I55">
        <v>50158</v>
      </c>
      <c r="J55">
        <v>23839</v>
      </c>
      <c r="K55">
        <v>4474</v>
      </c>
      <c r="L55" t="s">
        <v>20</v>
      </c>
    </row>
    <row r="56" spans="1:12" x14ac:dyDescent="0.25">
      <c r="A56" t="str" cm="1">
        <f t="array" ref="A56">INDEX({"3 Series","5 Series","7 Series","i3","i8","M3","M5","X1","X3","X5","X6"},MOD(ROW()-2,11)+1)</f>
        <v>X6</v>
      </c>
      <c r="B56">
        <v>2014</v>
      </c>
      <c r="C56" t="s">
        <v>29</v>
      </c>
      <c r="D56" t="s">
        <v>10</v>
      </c>
      <c r="E56" t="s">
        <v>28</v>
      </c>
      <c r="F56" t="s">
        <v>12</v>
      </c>
      <c r="G56" t="s">
        <v>19</v>
      </c>
      <c r="H56">
        <v>2</v>
      </c>
      <c r="I56">
        <v>74145</v>
      </c>
      <c r="J56">
        <v>32981</v>
      </c>
      <c r="K56">
        <v>2014</v>
      </c>
      <c r="L56" t="s">
        <v>14</v>
      </c>
    </row>
    <row r="57" spans="1:12" x14ac:dyDescent="0.25">
      <c r="A57" t="str" cm="1">
        <f t="array" ref="A57">INDEX({"3 Series","5 Series","7 Series","i3","i8","M3","M5","X1","X3","X5","X6"},MOD(ROW()-2,11)+1)</f>
        <v>3 Series</v>
      </c>
      <c r="B57">
        <v>2014</v>
      </c>
      <c r="C57" t="s">
        <v>31</v>
      </c>
      <c r="D57" t="s">
        <v>16</v>
      </c>
      <c r="E57" t="s">
        <v>32</v>
      </c>
      <c r="F57" t="s">
        <v>18</v>
      </c>
      <c r="G57" t="s">
        <v>19</v>
      </c>
      <c r="H57">
        <v>2.5</v>
      </c>
      <c r="I57">
        <v>102139</v>
      </c>
      <c r="J57">
        <v>42187</v>
      </c>
      <c r="K57">
        <v>2334</v>
      </c>
      <c r="L57" t="s">
        <v>14</v>
      </c>
    </row>
    <row r="58" spans="1:12" x14ac:dyDescent="0.25">
      <c r="A58" t="str" cm="1">
        <f t="array" ref="A58">INDEX({"3 Series","5 Series","7 Series","i3","i8","M3","M5","X1","X3","X5","X6"},MOD(ROW()-2,11)+1)</f>
        <v>5 Series</v>
      </c>
      <c r="B58">
        <v>2014</v>
      </c>
      <c r="C58" t="s">
        <v>33</v>
      </c>
      <c r="D58" t="s">
        <v>10</v>
      </c>
      <c r="E58" t="s">
        <v>17</v>
      </c>
      <c r="F58" t="s">
        <v>12</v>
      </c>
      <c r="G58" t="s">
        <v>19</v>
      </c>
      <c r="H58">
        <v>2.5</v>
      </c>
      <c r="I58">
        <v>70632</v>
      </c>
      <c r="J58">
        <v>31167</v>
      </c>
      <c r="K58">
        <v>1801</v>
      </c>
      <c r="L58" t="s">
        <v>20</v>
      </c>
    </row>
    <row r="59" spans="1:12" x14ac:dyDescent="0.25">
      <c r="A59" t="str" cm="1">
        <f t="array" ref="A59">INDEX({"3 Series","5 Series","7 Series","i3","i8","M3","M5","X1","X3","X5","X6"},MOD(ROW()-2,11)+1)</f>
        <v>7 Series</v>
      </c>
      <c r="B59">
        <v>2014</v>
      </c>
      <c r="C59" t="s">
        <v>34</v>
      </c>
      <c r="D59" t="s">
        <v>26</v>
      </c>
      <c r="E59" t="s">
        <v>17</v>
      </c>
      <c r="F59" t="s">
        <v>18</v>
      </c>
      <c r="G59" t="s">
        <v>13</v>
      </c>
      <c r="H59">
        <v>2</v>
      </c>
      <c r="I59">
        <v>116839</v>
      </c>
      <c r="J59">
        <v>36259</v>
      </c>
      <c r="K59">
        <v>4562</v>
      </c>
      <c r="L59" t="s">
        <v>20</v>
      </c>
    </row>
    <row r="60" spans="1:12" x14ac:dyDescent="0.25">
      <c r="A60" t="str" cm="1">
        <f t="array" ref="A60">INDEX({"3 Series","5 Series","7 Series","i3","i8","M3","M5","X1","X3","X5","X6"},MOD(ROW()-2,11)+1)</f>
        <v>i3</v>
      </c>
      <c r="B60">
        <v>2014</v>
      </c>
      <c r="C60" t="s">
        <v>35</v>
      </c>
      <c r="D60" t="s">
        <v>26</v>
      </c>
      <c r="E60" t="s">
        <v>28</v>
      </c>
      <c r="F60" t="s">
        <v>37</v>
      </c>
      <c r="G60" t="s">
        <v>13</v>
      </c>
      <c r="H60">
        <v>3</v>
      </c>
      <c r="I60">
        <v>106052</v>
      </c>
      <c r="J60">
        <v>30531</v>
      </c>
      <c r="K60">
        <v>4964</v>
      </c>
      <c r="L60" t="s">
        <v>30</v>
      </c>
    </row>
    <row r="61" spans="1:12" x14ac:dyDescent="0.25">
      <c r="A61" t="str" cm="1">
        <f t="array" ref="A61">INDEX({"3 Series","5 Series","7 Series","i3","i8","M3","M5","X1","X3","X5","X6"},MOD(ROW()-2,11)+1)</f>
        <v>i8</v>
      </c>
      <c r="B61">
        <v>2014</v>
      </c>
      <c r="C61" t="s">
        <v>36</v>
      </c>
      <c r="D61" t="s">
        <v>16</v>
      </c>
      <c r="E61" t="s">
        <v>32</v>
      </c>
      <c r="F61" t="s">
        <v>23</v>
      </c>
      <c r="G61" t="s">
        <v>13</v>
      </c>
      <c r="H61">
        <v>2</v>
      </c>
      <c r="I61">
        <v>30261</v>
      </c>
      <c r="J61">
        <v>34751</v>
      </c>
      <c r="K61">
        <v>3236</v>
      </c>
      <c r="L61" t="s">
        <v>14</v>
      </c>
    </row>
    <row r="62" spans="1:12" x14ac:dyDescent="0.25">
      <c r="A62" t="str" cm="1">
        <f t="array" ref="A62">INDEX({"3 Series","5 Series","7 Series","i3","i8","M3","M5","X1","X3","X5","X6"},MOD(ROW()-2,11)+1)</f>
        <v>M3</v>
      </c>
      <c r="B62">
        <v>2015</v>
      </c>
      <c r="C62" t="s">
        <v>9</v>
      </c>
      <c r="D62" t="s">
        <v>26</v>
      </c>
      <c r="E62" t="s">
        <v>38</v>
      </c>
      <c r="F62" t="s">
        <v>18</v>
      </c>
      <c r="G62" t="s">
        <v>13</v>
      </c>
      <c r="H62">
        <v>2.5</v>
      </c>
      <c r="I62">
        <v>85138</v>
      </c>
      <c r="J62">
        <v>35343</v>
      </c>
      <c r="K62">
        <v>4495</v>
      </c>
      <c r="L62" t="s">
        <v>20</v>
      </c>
    </row>
    <row r="63" spans="1:12" x14ac:dyDescent="0.25">
      <c r="A63" t="str" cm="1">
        <f t="array" ref="A63">INDEX({"3 Series","5 Series","7 Series","i3","i8","M3","M5","X1","X3","X5","X6"},MOD(ROW()-2,11)+1)</f>
        <v>M5</v>
      </c>
      <c r="B63">
        <v>2015</v>
      </c>
      <c r="C63" t="s">
        <v>15</v>
      </c>
      <c r="D63" t="s">
        <v>26</v>
      </c>
      <c r="E63" t="s">
        <v>28</v>
      </c>
      <c r="F63" t="s">
        <v>18</v>
      </c>
      <c r="G63" t="s">
        <v>13</v>
      </c>
      <c r="H63">
        <v>3</v>
      </c>
      <c r="I63">
        <v>80377</v>
      </c>
      <c r="J63">
        <v>34765</v>
      </c>
      <c r="K63">
        <v>1680</v>
      </c>
      <c r="L63" t="s">
        <v>14</v>
      </c>
    </row>
    <row r="64" spans="1:12" x14ac:dyDescent="0.25">
      <c r="A64" t="str" cm="1">
        <f t="array" ref="A64">INDEX({"3 Series","5 Series","7 Series","i3","i8","M3","M5","X1","X3","X5","X6"},MOD(ROW()-2,11)+1)</f>
        <v>X1</v>
      </c>
      <c r="B64">
        <v>2015</v>
      </c>
      <c r="C64" t="s">
        <v>21</v>
      </c>
      <c r="D64" t="s">
        <v>16</v>
      </c>
      <c r="E64" t="s">
        <v>32</v>
      </c>
      <c r="F64" t="s">
        <v>18</v>
      </c>
      <c r="G64" t="s">
        <v>19</v>
      </c>
      <c r="H64">
        <v>2.5</v>
      </c>
      <c r="I64">
        <v>34322</v>
      </c>
      <c r="J64">
        <v>16142</v>
      </c>
      <c r="K64">
        <v>1008</v>
      </c>
      <c r="L64" t="s">
        <v>14</v>
      </c>
    </row>
    <row r="65" spans="1:12" x14ac:dyDescent="0.25">
      <c r="A65" t="str" cm="1">
        <f t="array" ref="A65">INDEX({"3 Series","5 Series","7 Series","i3","i8","M3","M5","X1","X3","X5","X6"},MOD(ROW()-2,11)+1)</f>
        <v>X3</v>
      </c>
      <c r="B65">
        <v>2015</v>
      </c>
      <c r="C65" t="s">
        <v>24</v>
      </c>
      <c r="D65" t="s">
        <v>10</v>
      </c>
      <c r="E65" t="s">
        <v>22</v>
      </c>
      <c r="F65" t="s">
        <v>12</v>
      </c>
      <c r="G65" t="s">
        <v>19</v>
      </c>
      <c r="H65">
        <v>2.5</v>
      </c>
      <c r="I65">
        <v>43068</v>
      </c>
      <c r="J65">
        <v>33454</v>
      </c>
      <c r="K65">
        <v>323</v>
      </c>
      <c r="L65" t="s">
        <v>20</v>
      </c>
    </row>
    <row r="66" spans="1:12" x14ac:dyDescent="0.25">
      <c r="A66" t="str" cm="1">
        <f t="array" ref="A66">INDEX({"3 Series","5 Series","7 Series","i3","i8","M3","M5","X1","X3","X5","X6"},MOD(ROW()-2,11)+1)</f>
        <v>X5</v>
      </c>
      <c r="B66">
        <v>2015</v>
      </c>
      <c r="C66" t="s">
        <v>25</v>
      </c>
      <c r="D66" t="s">
        <v>26</v>
      </c>
      <c r="E66" t="s">
        <v>22</v>
      </c>
      <c r="F66" t="s">
        <v>37</v>
      </c>
      <c r="G66" t="s">
        <v>19</v>
      </c>
      <c r="H66">
        <v>3</v>
      </c>
      <c r="I66">
        <v>72608</v>
      </c>
      <c r="J66">
        <v>42753</v>
      </c>
      <c r="K66">
        <v>1331</v>
      </c>
      <c r="L66" t="s">
        <v>20</v>
      </c>
    </row>
    <row r="67" spans="1:12" x14ac:dyDescent="0.25">
      <c r="A67" t="str" cm="1">
        <f t="array" ref="A67">INDEX({"3 Series","5 Series","7 Series","i3","i8","M3","M5","X1","X3","X5","X6"},MOD(ROW()-2,11)+1)</f>
        <v>X6</v>
      </c>
      <c r="B67">
        <v>2015</v>
      </c>
      <c r="C67" t="s">
        <v>27</v>
      </c>
      <c r="D67" t="s">
        <v>26</v>
      </c>
      <c r="E67" t="s">
        <v>11</v>
      </c>
      <c r="F67" t="s">
        <v>12</v>
      </c>
      <c r="G67" t="s">
        <v>19</v>
      </c>
      <c r="H67">
        <v>2</v>
      </c>
      <c r="I67">
        <v>55590</v>
      </c>
      <c r="J67">
        <v>35429</v>
      </c>
      <c r="K67">
        <v>1264</v>
      </c>
      <c r="L67" t="s">
        <v>30</v>
      </c>
    </row>
    <row r="68" spans="1:12" x14ac:dyDescent="0.25">
      <c r="A68" t="str" cm="1">
        <f t="array" ref="A68">INDEX({"3 Series","5 Series","7 Series","i3","i8","M3","M5","X1","X3","X5","X6"},MOD(ROW()-2,11)+1)</f>
        <v>3 Series</v>
      </c>
      <c r="B68">
        <v>2015</v>
      </c>
      <c r="C68" t="s">
        <v>29</v>
      </c>
      <c r="D68" t="s">
        <v>16</v>
      </c>
      <c r="E68" t="s">
        <v>28</v>
      </c>
      <c r="F68" t="s">
        <v>37</v>
      </c>
      <c r="G68" t="s">
        <v>19</v>
      </c>
      <c r="H68">
        <v>2</v>
      </c>
      <c r="I68">
        <v>80787</v>
      </c>
      <c r="J68">
        <v>24499</v>
      </c>
      <c r="K68">
        <v>2894</v>
      </c>
      <c r="L68" t="s">
        <v>14</v>
      </c>
    </row>
    <row r="69" spans="1:12" x14ac:dyDescent="0.25">
      <c r="A69" t="str" cm="1">
        <f t="array" ref="A69">INDEX({"3 Series","5 Series","7 Series","i3","i8","M3","M5","X1","X3","X5","X6"},MOD(ROW()-2,11)+1)</f>
        <v>5 Series</v>
      </c>
      <c r="B69">
        <v>2015</v>
      </c>
      <c r="C69" t="s">
        <v>31</v>
      </c>
      <c r="D69" t="s">
        <v>10</v>
      </c>
      <c r="E69" t="s">
        <v>11</v>
      </c>
      <c r="F69" t="s">
        <v>18</v>
      </c>
      <c r="G69" t="s">
        <v>13</v>
      </c>
      <c r="H69">
        <v>2.5</v>
      </c>
      <c r="I69">
        <v>78352</v>
      </c>
      <c r="J69">
        <v>37036</v>
      </c>
      <c r="K69">
        <v>2092</v>
      </c>
      <c r="L69" t="s">
        <v>30</v>
      </c>
    </row>
    <row r="70" spans="1:12" x14ac:dyDescent="0.25">
      <c r="A70" t="str" cm="1">
        <f t="array" ref="A70">INDEX({"3 Series","5 Series","7 Series","i3","i8","M3","M5","X1","X3","X5","X6"},MOD(ROW()-2,11)+1)</f>
        <v>7 Series</v>
      </c>
      <c r="B70">
        <v>2015</v>
      </c>
      <c r="C70" t="s">
        <v>33</v>
      </c>
      <c r="D70" t="s">
        <v>16</v>
      </c>
      <c r="E70" t="s">
        <v>32</v>
      </c>
      <c r="F70" t="s">
        <v>37</v>
      </c>
      <c r="G70" t="s">
        <v>19</v>
      </c>
      <c r="H70">
        <v>2.5</v>
      </c>
      <c r="I70">
        <v>99442</v>
      </c>
      <c r="J70">
        <v>27226</v>
      </c>
      <c r="K70">
        <v>3989</v>
      </c>
      <c r="L70" t="s">
        <v>20</v>
      </c>
    </row>
    <row r="71" spans="1:12" x14ac:dyDescent="0.25">
      <c r="A71" t="str" cm="1">
        <f t="array" ref="A71">INDEX({"3 Series","5 Series","7 Series","i3","i8","M3","M5","X1","X3","X5","X6"},MOD(ROW()-2,11)+1)</f>
        <v>i3</v>
      </c>
      <c r="B71">
        <v>2015</v>
      </c>
      <c r="C71" t="s">
        <v>34</v>
      </c>
      <c r="D71" t="s">
        <v>16</v>
      </c>
      <c r="E71" t="s">
        <v>28</v>
      </c>
      <c r="F71" t="s">
        <v>37</v>
      </c>
      <c r="G71" t="s">
        <v>19</v>
      </c>
      <c r="H71">
        <v>2</v>
      </c>
      <c r="I71">
        <v>93644</v>
      </c>
      <c r="J71">
        <v>15332</v>
      </c>
      <c r="K71">
        <v>3233</v>
      </c>
      <c r="L71" t="s">
        <v>30</v>
      </c>
    </row>
    <row r="72" spans="1:12" x14ac:dyDescent="0.25">
      <c r="A72" t="str" cm="1">
        <f t="array" ref="A72">INDEX({"3 Series","5 Series","7 Series","i3","i8","M3","M5","X1","X3","X5","X6"},MOD(ROW()-2,11)+1)</f>
        <v>i8</v>
      </c>
      <c r="B72">
        <v>2015</v>
      </c>
      <c r="C72" t="s">
        <v>35</v>
      </c>
      <c r="D72" t="s">
        <v>16</v>
      </c>
      <c r="E72" t="s">
        <v>17</v>
      </c>
      <c r="F72" t="s">
        <v>23</v>
      </c>
      <c r="G72" t="s">
        <v>13</v>
      </c>
      <c r="H72">
        <v>3</v>
      </c>
      <c r="I72">
        <v>65425</v>
      </c>
      <c r="J72">
        <v>37734</v>
      </c>
      <c r="K72">
        <v>4025</v>
      </c>
      <c r="L72" t="s">
        <v>20</v>
      </c>
    </row>
    <row r="73" spans="1:12" x14ac:dyDescent="0.25">
      <c r="A73" t="str" cm="1">
        <f t="array" ref="A73">INDEX({"3 Series","5 Series","7 Series","i3","i8","M3","M5","X1","X3","X5","X6"},MOD(ROW()-2,11)+1)</f>
        <v>M3</v>
      </c>
      <c r="B73">
        <v>2015</v>
      </c>
      <c r="C73" t="s">
        <v>36</v>
      </c>
      <c r="D73" t="s">
        <v>26</v>
      </c>
      <c r="E73" t="s">
        <v>32</v>
      </c>
      <c r="F73" t="s">
        <v>12</v>
      </c>
      <c r="G73" t="s">
        <v>13</v>
      </c>
      <c r="H73">
        <v>2</v>
      </c>
      <c r="I73">
        <v>46035</v>
      </c>
      <c r="J73">
        <v>26576</v>
      </c>
      <c r="K73">
        <v>3098</v>
      </c>
      <c r="L73" t="s">
        <v>20</v>
      </c>
    </row>
    <row r="74" spans="1:12" x14ac:dyDescent="0.25">
      <c r="A74" t="str" cm="1">
        <f t="array" ref="A74">INDEX({"3 Series","5 Series","7 Series","i3","i8","M3","M5","X1","X3","X5","X6"},MOD(ROW()-2,11)+1)</f>
        <v>M5</v>
      </c>
      <c r="B74">
        <v>2016</v>
      </c>
      <c r="C74" t="s">
        <v>9</v>
      </c>
      <c r="D74" t="s">
        <v>16</v>
      </c>
      <c r="E74" t="s">
        <v>22</v>
      </c>
      <c r="F74" t="s">
        <v>18</v>
      </c>
      <c r="G74" t="s">
        <v>13</v>
      </c>
      <c r="H74">
        <v>2.5</v>
      </c>
      <c r="I74">
        <v>39997</v>
      </c>
      <c r="J74">
        <v>23851</v>
      </c>
      <c r="K74">
        <v>2797</v>
      </c>
      <c r="L74" t="s">
        <v>14</v>
      </c>
    </row>
    <row r="75" spans="1:12" x14ac:dyDescent="0.25">
      <c r="A75" t="str" cm="1">
        <f t="array" ref="A75">INDEX({"3 Series","5 Series","7 Series","i3","i8","M3","M5","X1","X3","X5","X6"},MOD(ROW()-2,11)+1)</f>
        <v>X1</v>
      </c>
      <c r="B75">
        <v>2016</v>
      </c>
      <c r="C75" t="s">
        <v>15</v>
      </c>
      <c r="D75" t="s">
        <v>10</v>
      </c>
      <c r="E75" t="s">
        <v>22</v>
      </c>
      <c r="F75" t="s">
        <v>18</v>
      </c>
      <c r="G75" t="s">
        <v>13</v>
      </c>
      <c r="H75">
        <v>2</v>
      </c>
      <c r="I75">
        <v>38456</v>
      </c>
      <c r="J75">
        <v>38704</v>
      </c>
      <c r="K75">
        <v>1083</v>
      </c>
      <c r="L75" t="s">
        <v>14</v>
      </c>
    </row>
    <row r="76" spans="1:12" x14ac:dyDescent="0.25">
      <c r="A76" t="str" cm="1">
        <f t="array" ref="A76">INDEX({"3 Series","5 Series","7 Series","i3","i8","M3","M5","X1","X3","X5","X6"},MOD(ROW()-2,11)+1)</f>
        <v>X3</v>
      </c>
      <c r="B76">
        <v>2016</v>
      </c>
      <c r="C76" t="s">
        <v>21</v>
      </c>
      <c r="D76" t="s">
        <v>10</v>
      </c>
      <c r="E76" t="s">
        <v>38</v>
      </c>
      <c r="F76" t="s">
        <v>12</v>
      </c>
      <c r="G76" t="s">
        <v>13</v>
      </c>
      <c r="H76">
        <v>2</v>
      </c>
      <c r="I76">
        <v>63327</v>
      </c>
      <c r="J76">
        <v>30642</v>
      </c>
      <c r="K76">
        <v>567</v>
      </c>
      <c r="L76" t="s">
        <v>14</v>
      </c>
    </row>
    <row r="77" spans="1:12" x14ac:dyDescent="0.25">
      <c r="A77" t="str" cm="1">
        <f t="array" ref="A77">INDEX({"3 Series","5 Series","7 Series","i3","i8","M3","M5","X1","X3","X5","X6"},MOD(ROW()-2,11)+1)</f>
        <v>X5</v>
      </c>
      <c r="B77">
        <v>2016</v>
      </c>
      <c r="C77" t="s">
        <v>24</v>
      </c>
      <c r="D77" t="s">
        <v>10</v>
      </c>
      <c r="E77" t="s">
        <v>32</v>
      </c>
      <c r="F77" t="s">
        <v>12</v>
      </c>
      <c r="G77" t="s">
        <v>13</v>
      </c>
      <c r="H77">
        <v>2.5</v>
      </c>
      <c r="I77">
        <v>88544</v>
      </c>
      <c r="J77">
        <v>43556</v>
      </c>
      <c r="K77">
        <v>2321</v>
      </c>
      <c r="L77" t="s">
        <v>14</v>
      </c>
    </row>
    <row r="78" spans="1:12" x14ac:dyDescent="0.25">
      <c r="A78" t="str" cm="1">
        <f t="array" ref="A78">INDEX({"3 Series","5 Series","7 Series","i3","i8","M3","M5","X1","X3","X5","X6"},MOD(ROW()-2,11)+1)</f>
        <v>X6</v>
      </c>
      <c r="B78">
        <v>2016</v>
      </c>
      <c r="C78" t="s">
        <v>25</v>
      </c>
      <c r="D78" t="s">
        <v>26</v>
      </c>
      <c r="E78" t="s">
        <v>22</v>
      </c>
      <c r="F78" t="s">
        <v>37</v>
      </c>
      <c r="G78" t="s">
        <v>13</v>
      </c>
      <c r="H78">
        <v>2.5</v>
      </c>
      <c r="I78">
        <v>90139</v>
      </c>
      <c r="J78">
        <v>40935</v>
      </c>
      <c r="K78">
        <v>4390</v>
      </c>
      <c r="L78" t="s">
        <v>20</v>
      </c>
    </row>
    <row r="79" spans="1:12" x14ac:dyDescent="0.25">
      <c r="A79" t="str" cm="1">
        <f t="array" ref="A79">INDEX({"3 Series","5 Series","7 Series","i3","i8","M3","M5","X1","X3","X5","X6"},MOD(ROW()-2,11)+1)</f>
        <v>3 Series</v>
      </c>
      <c r="B79">
        <v>2016</v>
      </c>
      <c r="C79" t="s">
        <v>27</v>
      </c>
      <c r="D79" t="s">
        <v>10</v>
      </c>
      <c r="E79" t="s">
        <v>28</v>
      </c>
      <c r="F79" t="s">
        <v>37</v>
      </c>
      <c r="G79" t="s">
        <v>19</v>
      </c>
      <c r="H79">
        <v>2.5</v>
      </c>
      <c r="I79">
        <v>92354</v>
      </c>
      <c r="J79">
        <v>20248</v>
      </c>
      <c r="K79">
        <v>4998</v>
      </c>
      <c r="L79" t="s">
        <v>14</v>
      </c>
    </row>
    <row r="80" spans="1:12" x14ac:dyDescent="0.25">
      <c r="A80" t="str" cm="1">
        <f t="array" ref="A80">INDEX({"3 Series","5 Series","7 Series","i3","i8","M3","M5","X1","X3","X5","X6"},MOD(ROW()-2,11)+1)</f>
        <v>5 Series</v>
      </c>
      <c r="B80">
        <v>2016</v>
      </c>
      <c r="C80" t="s">
        <v>29</v>
      </c>
      <c r="D80" t="s">
        <v>10</v>
      </c>
      <c r="E80" t="s">
        <v>32</v>
      </c>
      <c r="F80" t="s">
        <v>23</v>
      </c>
      <c r="G80" t="s">
        <v>13</v>
      </c>
      <c r="H80">
        <v>2.5</v>
      </c>
      <c r="I80">
        <v>33649</v>
      </c>
      <c r="J80">
        <v>35968</v>
      </c>
      <c r="K80">
        <v>377</v>
      </c>
      <c r="L80" t="s">
        <v>20</v>
      </c>
    </row>
    <row r="81" spans="1:12" x14ac:dyDescent="0.25">
      <c r="A81" t="str" cm="1">
        <f t="array" ref="A81">INDEX({"3 Series","5 Series","7 Series","i3","i8","M3","M5","X1","X3","X5","X6"},MOD(ROW()-2,11)+1)</f>
        <v>7 Series</v>
      </c>
      <c r="B81">
        <v>2016</v>
      </c>
      <c r="C81" t="s">
        <v>31</v>
      </c>
      <c r="D81" t="s">
        <v>10</v>
      </c>
      <c r="E81" t="s">
        <v>11</v>
      </c>
      <c r="F81" t="s">
        <v>18</v>
      </c>
      <c r="G81" t="s">
        <v>19</v>
      </c>
      <c r="H81">
        <v>2</v>
      </c>
      <c r="I81">
        <v>61974</v>
      </c>
      <c r="J81">
        <v>41330</v>
      </c>
      <c r="K81">
        <v>959</v>
      </c>
      <c r="L81" t="s">
        <v>20</v>
      </c>
    </row>
    <row r="82" spans="1:12" x14ac:dyDescent="0.25">
      <c r="A82" t="str" cm="1">
        <f t="array" ref="A82">INDEX({"3 Series","5 Series","7 Series","i3","i8","M3","M5","X1","X3","X5","X6"},MOD(ROW()-2,11)+1)</f>
        <v>i3</v>
      </c>
      <c r="B82">
        <v>2016</v>
      </c>
      <c r="C82" t="s">
        <v>33</v>
      </c>
      <c r="D82" t="s">
        <v>26</v>
      </c>
      <c r="E82" t="s">
        <v>38</v>
      </c>
      <c r="F82" t="s">
        <v>37</v>
      </c>
      <c r="G82" t="s">
        <v>13</v>
      </c>
      <c r="H82">
        <v>3</v>
      </c>
      <c r="I82">
        <v>25996</v>
      </c>
      <c r="J82">
        <v>18137</v>
      </c>
      <c r="K82">
        <v>3772</v>
      </c>
      <c r="L82" t="s">
        <v>30</v>
      </c>
    </row>
    <row r="83" spans="1:12" x14ac:dyDescent="0.25">
      <c r="A83" t="str" cm="1">
        <f t="array" ref="A83">INDEX({"3 Series","5 Series","7 Series","i3","i8","M3","M5","X1","X3","X5","X6"},MOD(ROW()-2,11)+1)</f>
        <v>i8</v>
      </c>
      <c r="B83">
        <v>2016</v>
      </c>
      <c r="C83" t="s">
        <v>34</v>
      </c>
      <c r="D83" t="s">
        <v>26</v>
      </c>
      <c r="E83" t="s">
        <v>17</v>
      </c>
      <c r="F83" t="s">
        <v>12</v>
      </c>
      <c r="G83" t="s">
        <v>13</v>
      </c>
      <c r="H83">
        <v>2</v>
      </c>
      <c r="I83">
        <v>66396</v>
      </c>
      <c r="J83">
        <v>28036</v>
      </c>
      <c r="K83">
        <v>3845</v>
      </c>
      <c r="L83" t="s">
        <v>14</v>
      </c>
    </row>
    <row r="84" spans="1:12" x14ac:dyDescent="0.25">
      <c r="A84" t="str" cm="1">
        <f t="array" ref="A84">INDEX({"3 Series","5 Series","7 Series","i3","i8","M3","M5","X1","X3","X5","X6"},MOD(ROW()-2,11)+1)</f>
        <v>M3</v>
      </c>
      <c r="B84">
        <v>2016</v>
      </c>
      <c r="C84" t="s">
        <v>35</v>
      </c>
      <c r="D84" t="s">
        <v>10</v>
      </c>
      <c r="E84" t="s">
        <v>17</v>
      </c>
      <c r="F84" t="s">
        <v>12</v>
      </c>
      <c r="G84" t="s">
        <v>19</v>
      </c>
      <c r="H84">
        <v>3</v>
      </c>
      <c r="I84">
        <v>50168</v>
      </c>
      <c r="J84">
        <v>25218</v>
      </c>
      <c r="K84">
        <v>4856</v>
      </c>
      <c r="L84" t="s">
        <v>20</v>
      </c>
    </row>
    <row r="85" spans="1:12" x14ac:dyDescent="0.25">
      <c r="A85" t="str" cm="1">
        <f t="array" ref="A85">INDEX({"3 Series","5 Series","7 Series","i3","i8","M3","M5","X1","X3","X5","X6"},MOD(ROW()-2,11)+1)</f>
        <v>M5</v>
      </c>
      <c r="B85">
        <v>2016</v>
      </c>
      <c r="C85" t="s">
        <v>36</v>
      </c>
      <c r="D85" t="s">
        <v>26</v>
      </c>
      <c r="E85" t="s">
        <v>22</v>
      </c>
      <c r="F85" t="s">
        <v>23</v>
      </c>
      <c r="G85" t="s">
        <v>19</v>
      </c>
      <c r="H85">
        <v>2</v>
      </c>
      <c r="I85">
        <v>57380</v>
      </c>
      <c r="J85">
        <v>20829</v>
      </c>
      <c r="K85">
        <v>661</v>
      </c>
      <c r="L85" t="s">
        <v>14</v>
      </c>
    </row>
    <row r="86" spans="1:12" x14ac:dyDescent="0.25">
      <c r="A86" t="str" cm="1">
        <f t="array" ref="A86">INDEX({"3 Series","5 Series","7 Series","i3","i8","M3","M5","X1","X3","X5","X6"},MOD(ROW()-2,11)+1)</f>
        <v>X1</v>
      </c>
      <c r="B86">
        <v>2017</v>
      </c>
      <c r="C86" t="s">
        <v>9</v>
      </c>
      <c r="D86" t="s">
        <v>16</v>
      </c>
      <c r="E86" t="s">
        <v>17</v>
      </c>
      <c r="F86" t="s">
        <v>12</v>
      </c>
      <c r="G86" t="s">
        <v>19</v>
      </c>
      <c r="H86">
        <v>3</v>
      </c>
      <c r="I86">
        <v>36857</v>
      </c>
      <c r="J86">
        <v>27305</v>
      </c>
      <c r="K86">
        <v>3046</v>
      </c>
      <c r="L86" t="s">
        <v>30</v>
      </c>
    </row>
    <row r="87" spans="1:12" x14ac:dyDescent="0.25">
      <c r="A87" t="str" cm="1">
        <f t="array" ref="A87">INDEX({"3 Series","5 Series","7 Series","i3","i8","M3","M5","X1","X3","X5","X6"},MOD(ROW()-2,11)+1)</f>
        <v>X3</v>
      </c>
      <c r="B87">
        <v>2017</v>
      </c>
      <c r="C87" t="s">
        <v>15</v>
      </c>
      <c r="D87" t="s">
        <v>16</v>
      </c>
      <c r="E87" t="s">
        <v>17</v>
      </c>
      <c r="F87" t="s">
        <v>18</v>
      </c>
      <c r="G87" t="s">
        <v>13</v>
      </c>
      <c r="H87">
        <v>3</v>
      </c>
      <c r="I87">
        <v>72704</v>
      </c>
      <c r="J87">
        <v>39473</v>
      </c>
      <c r="K87">
        <v>3410</v>
      </c>
      <c r="L87" t="s">
        <v>14</v>
      </c>
    </row>
    <row r="88" spans="1:12" x14ac:dyDescent="0.25">
      <c r="A88" t="str" cm="1">
        <f t="array" ref="A88">INDEX({"3 Series","5 Series","7 Series","i3","i8","M3","M5","X1","X3","X5","X6"},MOD(ROW()-2,11)+1)</f>
        <v>X5</v>
      </c>
      <c r="B88">
        <v>2017</v>
      </c>
      <c r="C88" t="s">
        <v>21</v>
      </c>
      <c r="D88" t="s">
        <v>16</v>
      </c>
      <c r="E88" t="s">
        <v>32</v>
      </c>
      <c r="F88" t="s">
        <v>18</v>
      </c>
      <c r="G88" t="s">
        <v>13</v>
      </c>
      <c r="H88">
        <v>2</v>
      </c>
      <c r="I88">
        <v>46100</v>
      </c>
      <c r="J88">
        <v>28583</v>
      </c>
      <c r="K88">
        <v>4553</v>
      </c>
      <c r="L88" t="s">
        <v>30</v>
      </c>
    </row>
    <row r="89" spans="1:12" x14ac:dyDescent="0.25">
      <c r="A89" t="str" cm="1">
        <f t="array" ref="A89">INDEX({"3 Series","5 Series","7 Series","i3","i8","M3","M5","X1","X3","X5","X6"},MOD(ROW()-2,11)+1)</f>
        <v>X6</v>
      </c>
      <c r="B89">
        <v>2017</v>
      </c>
      <c r="C89" t="s">
        <v>24</v>
      </c>
      <c r="D89" t="s">
        <v>26</v>
      </c>
      <c r="E89" t="s">
        <v>28</v>
      </c>
      <c r="F89" t="s">
        <v>37</v>
      </c>
      <c r="G89" t="s">
        <v>19</v>
      </c>
      <c r="H89">
        <v>3</v>
      </c>
      <c r="I89">
        <v>32337</v>
      </c>
      <c r="J89">
        <v>19233</v>
      </c>
      <c r="K89">
        <v>1502</v>
      </c>
      <c r="L89" t="s">
        <v>30</v>
      </c>
    </row>
    <row r="90" spans="1:12" x14ac:dyDescent="0.25">
      <c r="A90" t="str" cm="1">
        <f t="array" ref="A90">INDEX({"3 Series","5 Series","7 Series","i3","i8","M3","M5","X1","X3","X5","X6"},MOD(ROW()-2,11)+1)</f>
        <v>3 Series</v>
      </c>
      <c r="B90">
        <v>2017</v>
      </c>
      <c r="C90" t="s">
        <v>25</v>
      </c>
      <c r="D90" t="s">
        <v>26</v>
      </c>
      <c r="E90" t="s">
        <v>11</v>
      </c>
      <c r="F90" t="s">
        <v>37</v>
      </c>
      <c r="G90" t="s">
        <v>19</v>
      </c>
      <c r="H90">
        <v>3</v>
      </c>
      <c r="I90">
        <v>60453</v>
      </c>
      <c r="J90">
        <v>28651</v>
      </c>
      <c r="K90">
        <v>498</v>
      </c>
      <c r="L90" t="s">
        <v>30</v>
      </c>
    </row>
    <row r="91" spans="1:12" x14ac:dyDescent="0.25">
      <c r="A91" t="str" cm="1">
        <f t="array" ref="A91">INDEX({"3 Series","5 Series","7 Series","i3","i8","M3","M5","X1","X3","X5","X6"},MOD(ROW()-2,11)+1)</f>
        <v>5 Series</v>
      </c>
      <c r="B91">
        <v>2017</v>
      </c>
      <c r="C91" t="s">
        <v>27</v>
      </c>
      <c r="D91" t="s">
        <v>26</v>
      </c>
      <c r="E91" t="s">
        <v>22</v>
      </c>
      <c r="F91" t="s">
        <v>37</v>
      </c>
      <c r="G91" t="s">
        <v>13</v>
      </c>
      <c r="H91">
        <v>3</v>
      </c>
      <c r="I91">
        <v>43224</v>
      </c>
      <c r="J91">
        <v>28004</v>
      </c>
      <c r="K91">
        <v>1301</v>
      </c>
      <c r="L91" t="s">
        <v>30</v>
      </c>
    </row>
    <row r="92" spans="1:12" x14ac:dyDescent="0.25">
      <c r="A92" t="str" cm="1">
        <f t="array" ref="A92">INDEX({"3 Series","5 Series","7 Series","i3","i8","M3","M5","X1","X3","X5","X6"},MOD(ROW()-2,11)+1)</f>
        <v>7 Series</v>
      </c>
      <c r="B92">
        <v>2017</v>
      </c>
      <c r="C92" t="s">
        <v>29</v>
      </c>
      <c r="D92" t="s">
        <v>10</v>
      </c>
      <c r="E92" t="s">
        <v>32</v>
      </c>
      <c r="F92" t="s">
        <v>12</v>
      </c>
      <c r="G92" t="s">
        <v>19</v>
      </c>
      <c r="H92">
        <v>3</v>
      </c>
      <c r="I92">
        <v>88768</v>
      </c>
      <c r="J92">
        <v>26375</v>
      </c>
      <c r="K92">
        <v>4329</v>
      </c>
      <c r="L92" t="s">
        <v>30</v>
      </c>
    </row>
    <row r="93" spans="1:12" x14ac:dyDescent="0.25">
      <c r="A93" t="str" cm="1">
        <f t="array" ref="A93">INDEX({"3 Series","5 Series","7 Series","i3","i8","M3","M5","X1","X3","X5","X6"},MOD(ROW()-2,11)+1)</f>
        <v>i3</v>
      </c>
      <c r="B93">
        <v>2017</v>
      </c>
      <c r="C93" t="s">
        <v>31</v>
      </c>
      <c r="D93" t="s">
        <v>26</v>
      </c>
      <c r="E93" t="s">
        <v>38</v>
      </c>
      <c r="F93" t="s">
        <v>18</v>
      </c>
      <c r="G93" t="s">
        <v>13</v>
      </c>
      <c r="H93">
        <v>2.5</v>
      </c>
      <c r="I93">
        <v>103178</v>
      </c>
      <c r="J93">
        <v>43058</v>
      </c>
      <c r="K93">
        <v>984</v>
      </c>
      <c r="L93" t="s">
        <v>30</v>
      </c>
    </row>
    <row r="94" spans="1:12" x14ac:dyDescent="0.25">
      <c r="A94" t="str" cm="1">
        <f t="array" ref="A94">INDEX({"3 Series","5 Series","7 Series","i3","i8","M3","M5","X1","X3","X5","X6"},MOD(ROW()-2,11)+1)</f>
        <v>i8</v>
      </c>
      <c r="B94">
        <v>2017</v>
      </c>
      <c r="C94" t="s">
        <v>33</v>
      </c>
      <c r="D94" t="s">
        <v>16</v>
      </c>
      <c r="E94" t="s">
        <v>28</v>
      </c>
      <c r="F94" t="s">
        <v>12</v>
      </c>
      <c r="G94" t="s">
        <v>19</v>
      </c>
      <c r="H94">
        <v>2</v>
      </c>
      <c r="I94">
        <v>107198</v>
      </c>
      <c r="J94">
        <v>42523</v>
      </c>
      <c r="K94">
        <v>3089</v>
      </c>
      <c r="L94" t="s">
        <v>30</v>
      </c>
    </row>
    <row r="95" spans="1:12" x14ac:dyDescent="0.25">
      <c r="A95" t="str" cm="1">
        <f t="array" ref="A95">INDEX({"3 Series","5 Series","7 Series","i3","i8","M3","M5","X1","X3","X5","X6"},MOD(ROW()-2,11)+1)</f>
        <v>M3</v>
      </c>
      <c r="B95">
        <v>2017</v>
      </c>
      <c r="C95" t="s">
        <v>34</v>
      </c>
      <c r="D95" t="s">
        <v>26</v>
      </c>
      <c r="E95" t="s">
        <v>17</v>
      </c>
      <c r="F95" t="s">
        <v>37</v>
      </c>
      <c r="G95" t="s">
        <v>13</v>
      </c>
      <c r="H95">
        <v>2.5</v>
      </c>
      <c r="I95">
        <v>32334</v>
      </c>
      <c r="J95">
        <v>15790</v>
      </c>
      <c r="K95">
        <v>284</v>
      </c>
      <c r="L95" t="s">
        <v>30</v>
      </c>
    </row>
    <row r="96" spans="1:12" x14ac:dyDescent="0.25">
      <c r="A96" t="str" cm="1">
        <f t="array" ref="A96">INDEX({"3 Series","5 Series","7 Series","i3","i8","M3","M5","X1","X3","X5","X6"},MOD(ROW()-2,11)+1)</f>
        <v>M5</v>
      </c>
      <c r="B96">
        <v>2017</v>
      </c>
      <c r="C96" t="s">
        <v>35</v>
      </c>
      <c r="D96" t="s">
        <v>26</v>
      </c>
      <c r="E96" t="s">
        <v>11</v>
      </c>
      <c r="F96" t="s">
        <v>18</v>
      </c>
      <c r="G96" t="s">
        <v>13</v>
      </c>
      <c r="H96">
        <v>3</v>
      </c>
      <c r="I96">
        <v>55824</v>
      </c>
      <c r="J96">
        <v>35992</v>
      </c>
      <c r="K96">
        <v>2782</v>
      </c>
      <c r="L96" t="s">
        <v>30</v>
      </c>
    </row>
    <row r="97" spans="1:12" x14ac:dyDescent="0.25">
      <c r="A97" t="str" cm="1">
        <f t="array" ref="A97">INDEX({"3 Series","5 Series","7 Series","i3","i8","M3","M5","X1","X3","X5","X6"},MOD(ROW()-2,11)+1)</f>
        <v>X1</v>
      </c>
      <c r="B97">
        <v>2017</v>
      </c>
      <c r="C97" t="s">
        <v>36</v>
      </c>
      <c r="D97" t="s">
        <v>10</v>
      </c>
      <c r="E97" t="s">
        <v>38</v>
      </c>
      <c r="F97" t="s">
        <v>12</v>
      </c>
      <c r="G97" t="s">
        <v>19</v>
      </c>
      <c r="H97">
        <v>2</v>
      </c>
      <c r="I97">
        <v>41754</v>
      </c>
      <c r="J97">
        <v>36937</v>
      </c>
      <c r="K97">
        <v>1648</v>
      </c>
      <c r="L97" t="s">
        <v>30</v>
      </c>
    </row>
    <row r="98" spans="1:12" x14ac:dyDescent="0.25">
      <c r="A98" t="str" cm="1">
        <f t="array" ref="A98">INDEX({"3 Series","5 Series","7 Series","i3","i8","M3","M5","X1","X3","X5","X6"},MOD(ROW()-2,11)+1)</f>
        <v>X3</v>
      </c>
      <c r="B98">
        <v>2018</v>
      </c>
      <c r="C98" t="s">
        <v>9</v>
      </c>
      <c r="D98" t="s">
        <v>16</v>
      </c>
      <c r="E98" t="s">
        <v>38</v>
      </c>
      <c r="F98" t="s">
        <v>37</v>
      </c>
      <c r="G98" t="s">
        <v>19</v>
      </c>
      <c r="H98">
        <v>2.5</v>
      </c>
      <c r="I98">
        <v>60428</v>
      </c>
      <c r="J98">
        <v>24440</v>
      </c>
      <c r="K98">
        <v>1782</v>
      </c>
      <c r="L98" t="s">
        <v>20</v>
      </c>
    </row>
    <row r="99" spans="1:12" x14ac:dyDescent="0.25">
      <c r="A99" t="str" cm="1">
        <f t="array" ref="A99">INDEX({"3 Series","5 Series","7 Series","i3","i8","M3","M5","X1","X3","X5","X6"},MOD(ROW()-2,11)+1)</f>
        <v>X5</v>
      </c>
      <c r="B99">
        <v>2018</v>
      </c>
      <c r="C99" t="s">
        <v>15</v>
      </c>
      <c r="D99" t="s">
        <v>10</v>
      </c>
      <c r="E99" t="s">
        <v>22</v>
      </c>
      <c r="F99" t="s">
        <v>12</v>
      </c>
      <c r="G99" t="s">
        <v>13</v>
      </c>
      <c r="H99">
        <v>3</v>
      </c>
      <c r="I99">
        <v>101286</v>
      </c>
      <c r="J99">
        <v>16292</v>
      </c>
      <c r="K99">
        <v>434</v>
      </c>
      <c r="L99" t="s">
        <v>14</v>
      </c>
    </row>
    <row r="100" spans="1:12" x14ac:dyDescent="0.25">
      <c r="A100" t="str" cm="1">
        <f t="array" ref="A100">INDEX({"3 Series","5 Series","7 Series","i3","i8","M3","M5","X1","X3","X5","X6"},MOD(ROW()-2,11)+1)</f>
        <v>X6</v>
      </c>
      <c r="B100">
        <v>2018</v>
      </c>
      <c r="C100" t="s">
        <v>21</v>
      </c>
      <c r="D100" t="s">
        <v>10</v>
      </c>
      <c r="E100" t="s">
        <v>38</v>
      </c>
      <c r="F100" t="s">
        <v>37</v>
      </c>
      <c r="G100" t="s">
        <v>13</v>
      </c>
      <c r="H100">
        <v>3</v>
      </c>
      <c r="I100">
        <v>70208</v>
      </c>
      <c r="J100">
        <v>27275</v>
      </c>
      <c r="K100">
        <v>2151</v>
      </c>
      <c r="L100" t="s">
        <v>14</v>
      </c>
    </row>
    <row r="101" spans="1:12" x14ac:dyDescent="0.25">
      <c r="A101" t="str" cm="1">
        <f t="array" ref="A101">INDEX({"3 Series","5 Series","7 Series","i3","i8","M3","M5","X1","X3","X5","X6"},MOD(ROW()-2,11)+1)</f>
        <v>3 Series</v>
      </c>
      <c r="B101">
        <v>2018</v>
      </c>
      <c r="C101" t="s">
        <v>24</v>
      </c>
      <c r="D101" t="s">
        <v>26</v>
      </c>
      <c r="E101" t="s">
        <v>38</v>
      </c>
      <c r="F101" t="s">
        <v>12</v>
      </c>
      <c r="G101" t="s">
        <v>19</v>
      </c>
      <c r="H101">
        <v>2</v>
      </c>
      <c r="I101">
        <v>82062</v>
      </c>
      <c r="J101">
        <v>36274</v>
      </c>
      <c r="K101">
        <v>3876</v>
      </c>
      <c r="L101" t="s">
        <v>20</v>
      </c>
    </row>
    <row r="102" spans="1:12" x14ac:dyDescent="0.25">
      <c r="A102" t="str" cm="1">
        <f t="array" ref="A102">INDEX({"3 Series","5 Series","7 Series","i3","i8","M3","M5","X1","X3","X5","X6"},MOD(ROW()-2,11)+1)</f>
        <v>5 Series</v>
      </c>
      <c r="B102">
        <v>2018</v>
      </c>
      <c r="C102" t="s">
        <v>25</v>
      </c>
      <c r="D102" t="s">
        <v>10</v>
      </c>
      <c r="E102" t="s">
        <v>11</v>
      </c>
      <c r="F102" t="s">
        <v>12</v>
      </c>
      <c r="G102" t="s">
        <v>13</v>
      </c>
      <c r="H102">
        <v>2.5</v>
      </c>
      <c r="I102">
        <v>40816</v>
      </c>
      <c r="J102">
        <v>34594</v>
      </c>
      <c r="K102">
        <v>2633</v>
      </c>
      <c r="L102" t="s">
        <v>20</v>
      </c>
    </row>
    <row r="103" spans="1:12" x14ac:dyDescent="0.25">
      <c r="A103" t="str" cm="1">
        <f t="array" ref="A103">INDEX({"3 Series","5 Series","7 Series","i3","i8","M3","M5","X1","X3","X5","X6"},MOD(ROW()-2,11)+1)</f>
        <v>7 Series</v>
      </c>
      <c r="B103">
        <v>2018</v>
      </c>
      <c r="C103" t="s">
        <v>27</v>
      </c>
      <c r="D103" t="s">
        <v>16</v>
      </c>
      <c r="E103" t="s">
        <v>17</v>
      </c>
      <c r="F103" t="s">
        <v>37</v>
      </c>
      <c r="G103" t="s">
        <v>13</v>
      </c>
      <c r="H103">
        <v>2.5</v>
      </c>
      <c r="I103">
        <v>99484</v>
      </c>
      <c r="J103">
        <v>29035</v>
      </c>
      <c r="K103">
        <v>2084</v>
      </c>
      <c r="L103" t="s">
        <v>30</v>
      </c>
    </row>
    <row r="104" spans="1:12" x14ac:dyDescent="0.25">
      <c r="A104" t="str" cm="1">
        <f t="array" ref="A104">INDEX({"3 Series","5 Series","7 Series","i3","i8","M3","M5","X1","X3","X5","X6"},MOD(ROW()-2,11)+1)</f>
        <v>i3</v>
      </c>
      <c r="B104">
        <v>2018</v>
      </c>
      <c r="C104" t="s">
        <v>29</v>
      </c>
      <c r="D104" t="s">
        <v>16</v>
      </c>
      <c r="E104" t="s">
        <v>17</v>
      </c>
      <c r="F104" t="s">
        <v>12</v>
      </c>
      <c r="G104" t="s">
        <v>13</v>
      </c>
      <c r="H104">
        <v>2.5</v>
      </c>
      <c r="I104">
        <v>76032</v>
      </c>
      <c r="J104">
        <v>41873</v>
      </c>
      <c r="K104">
        <v>3089</v>
      </c>
      <c r="L104" t="s">
        <v>20</v>
      </c>
    </row>
    <row r="105" spans="1:12" x14ac:dyDescent="0.25">
      <c r="A105" t="str" cm="1">
        <f t="array" ref="A105">INDEX({"3 Series","5 Series","7 Series","i3","i8","M3","M5","X1","X3","X5","X6"},MOD(ROW()-2,11)+1)</f>
        <v>i8</v>
      </c>
      <c r="B105">
        <v>2018</v>
      </c>
      <c r="C105" t="s">
        <v>31</v>
      </c>
      <c r="D105" t="s">
        <v>26</v>
      </c>
      <c r="E105" t="s">
        <v>11</v>
      </c>
      <c r="F105" t="s">
        <v>12</v>
      </c>
      <c r="G105" t="s">
        <v>13</v>
      </c>
      <c r="H105">
        <v>2</v>
      </c>
      <c r="I105">
        <v>37320</v>
      </c>
      <c r="J105">
        <v>18309</v>
      </c>
      <c r="K105">
        <v>2809</v>
      </c>
      <c r="L105" t="s">
        <v>30</v>
      </c>
    </row>
    <row r="106" spans="1:12" x14ac:dyDescent="0.25">
      <c r="A106" t="str" cm="1">
        <f t="array" ref="A106">INDEX({"3 Series","5 Series","7 Series","i3","i8","M3","M5","X1","X3","X5","X6"},MOD(ROW()-2,11)+1)</f>
        <v>M3</v>
      </c>
      <c r="B106">
        <v>2018</v>
      </c>
      <c r="C106" t="s">
        <v>33</v>
      </c>
      <c r="D106" t="s">
        <v>16</v>
      </c>
      <c r="E106" t="s">
        <v>17</v>
      </c>
      <c r="F106" t="s">
        <v>37</v>
      </c>
      <c r="G106" t="s">
        <v>13</v>
      </c>
      <c r="H106">
        <v>2</v>
      </c>
      <c r="I106">
        <v>103286</v>
      </c>
      <c r="J106">
        <v>39203</v>
      </c>
      <c r="K106">
        <v>4771</v>
      </c>
      <c r="L106" t="s">
        <v>14</v>
      </c>
    </row>
    <row r="107" spans="1:12" x14ac:dyDescent="0.25">
      <c r="A107" t="str" cm="1">
        <f t="array" ref="A107">INDEX({"3 Series","5 Series","7 Series","i3","i8","M3","M5","X1","X3","X5","X6"},MOD(ROW()-2,11)+1)</f>
        <v>M5</v>
      </c>
      <c r="B107">
        <v>2018</v>
      </c>
      <c r="C107" t="s">
        <v>34</v>
      </c>
      <c r="D107" t="s">
        <v>26</v>
      </c>
      <c r="E107" t="s">
        <v>32</v>
      </c>
      <c r="F107" t="s">
        <v>37</v>
      </c>
      <c r="G107" t="s">
        <v>13</v>
      </c>
      <c r="H107">
        <v>2.5</v>
      </c>
      <c r="I107">
        <v>99319</v>
      </c>
      <c r="J107">
        <v>15844</v>
      </c>
      <c r="K107">
        <v>746</v>
      </c>
      <c r="L107" t="s">
        <v>30</v>
      </c>
    </row>
    <row r="108" spans="1:12" x14ac:dyDescent="0.25">
      <c r="A108" t="str" cm="1">
        <f t="array" ref="A108">INDEX({"3 Series","5 Series","7 Series","i3","i8","M3","M5","X1","X3","X5","X6"},MOD(ROW()-2,11)+1)</f>
        <v>X1</v>
      </c>
      <c r="B108">
        <v>2018</v>
      </c>
      <c r="C108" t="s">
        <v>35</v>
      </c>
      <c r="D108" t="s">
        <v>26</v>
      </c>
      <c r="E108" t="s">
        <v>22</v>
      </c>
      <c r="F108" t="s">
        <v>37</v>
      </c>
      <c r="G108" t="s">
        <v>19</v>
      </c>
      <c r="H108">
        <v>3</v>
      </c>
      <c r="I108">
        <v>75506</v>
      </c>
      <c r="J108">
        <v>35720</v>
      </c>
      <c r="K108">
        <v>1894</v>
      </c>
      <c r="L108" t="s">
        <v>14</v>
      </c>
    </row>
    <row r="109" spans="1:12" x14ac:dyDescent="0.25">
      <c r="A109" t="str" cm="1">
        <f t="array" ref="A109">INDEX({"3 Series","5 Series","7 Series","i3","i8","M3","M5","X1","X3","X5","X6"},MOD(ROW()-2,11)+1)</f>
        <v>X3</v>
      </c>
      <c r="B109">
        <v>2018</v>
      </c>
      <c r="C109" t="s">
        <v>36</v>
      </c>
      <c r="D109" t="s">
        <v>16</v>
      </c>
      <c r="E109" t="s">
        <v>38</v>
      </c>
      <c r="F109" t="s">
        <v>37</v>
      </c>
      <c r="G109" t="s">
        <v>19</v>
      </c>
      <c r="H109">
        <v>2</v>
      </c>
      <c r="I109">
        <v>33443</v>
      </c>
      <c r="J109">
        <v>25045</v>
      </c>
      <c r="K109">
        <v>2207</v>
      </c>
      <c r="L109" t="s">
        <v>30</v>
      </c>
    </row>
    <row r="110" spans="1:12" x14ac:dyDescent="0.25">
      <c r="A110" t="str" cm="1">
        <f t="array" ref="A110">INDEX({"3 Series","5 Series","7 Series","i3","i8","M3","M5","X1","X3","X5","X6"},MOD(ROW()-2,11)+1)</f>
        <v>X5</v>
      </c>
      <c r="B110">
        <v>2019</v>
      </c>
      <c r="C110" t="s">
        <v>9</v>
      </c>
      <c r="D110" t="s">
        <v>26</v>
      </c>
      <c r="E110" t="s">
        <v>28</v>
      </c>
      <c r="F110" t="s">
        <v>37</v>
      </c>
      <c r="G110" t="s">
        <v>13</v>
      </c>
      <c r="H110">
        <v>2</v>
      </c>
      <c r="I110">
        <v>52878</v>
      </c>
      <c r="J110">
        <v>40499</v>
      </c>
      <c r="K110">
        <v>4853</v>
      </c>
      <c r="L110" t="s">
        <v>14</v>
      </c>
    </row>
    <row r="111" spans="1:12" x14ac:dyDescent="0.25">
      <c r="A111" t="str" cm="1">
        <f t="array" ref="A111">INDEX({"3 Series","5 Series","7 Series","i3","i8","M3","M5","X1","X3","X5","X6"},MOD(ROW()-2,11)+1)</f>
        <v>X6</v>
      </c>
      <c r="B111">
        <v>2019</v>
      </c>
      <c r="C111" t="s">
        <v>15</v>
      </c>
      <c r="D111" t="s">
        <v>16</v>
      </c>
      <c r="E111" t="s">
        <v>32</v>
      </c>
      <c r="F111" t="s">
        <v>12</v>
      </c>
      <c r="G111" t="s">
        <v>19</v>
      </c>
      <c r="H111">
        <v>3</v>
      </c>
      <c r="I111">
        <v>89216</v>
      </c>
      <c r="J111">
        <v>27146</v>
      </c>
      <c r="K111">
        <v>4716</v>
      </c>
      <c r="L111" t="s">
        <v>14</v>
      </c>
    </row>
    <row r="112" spans="1:12" x14ac:dyDescent="0.25">
      <c r="A112" t="str" cm="1">
        <f t="array" ref="A112">INDEX({"3 Series","5 Series","7 Series","i3","i8","M3","M5","X1","X3","X5","X6"},MOD(ROW()-2,11)+1)</f>
        <v>3 Series</v>
      </c>
      <c r="B112">
        <v>2019</v>
      </c>
      <c r="C112" t="s">
        <v>21</v>
      </c>
      <c r="D112" t="s">
        <v>16</v>
      </c>
      <c r="E112" t="s">
        <v>22</v>
      </c>
      <c r="F112" t="s">
        <v>12</v>
      </c>
      <c r="G112" t="s">
        <v>19</v>
      </c>
      <c r="H112">
        <v>2</v>
      </c>
      <c r="I112">
        <v>59093</v>
      </c>
      <c r="J112">
        <v>30342</v>
      </c>
      <c r="K112">
        <v>4977</v>
      </c>
      <c r="L112" t="s">
        <v>14</v>
      </c>
    </row>
    <row r="113" spans="1:12" x14ac:dyDescent="0.25">
      <c r="A113" t="str" cm="1">
        <f t="array" ref="A113">INDEX({"3 Series","5 Series","7 Series","i3","i8","M3","M5","X1","X3","X5","X6"},MOD(ROW()-2,11)+1)</f>
        <v>5 Series</v>
      </c>
      <c r="B113">
        <v>2019</v>
      </c>
      <c r="C113" t="s">
        <v>24</v>
      </c>
      <c r="D113" t="s">
        <v>16</v>
      </c>
      <c r="E113" t="s">
        <v>38</v>
      </c>
      <c r="F113" t="s">
        <v>23</v>
      </c>
      <c r="G113" t="s">
        <v>13</v>
      </c>
      <c r="H113">
        <v>2.5</v>
      </c>
      <c r="I113">
        <v>81985</v>
      </c>
      <c r="J113">
        <v>36005</v>
      </c>
      <c r="K113">
        <v>4555</v>
      </c>
      <c r="L113" t="s">
        <v>20</v>
      </c>
    </row>
    <row r="114" spans="1:12" x14ac:dyDescent="0.25">
      <c r="A114" t="str" cm="1">
        <f t="array" ref="A114">INDEX({"3 Series","5 Series","7 Series","i3","i8","M3","M5","X1","X3","X5","X6"},MOD(ROW()-2,11)+1)</f>
        <v>7 Series</v>
      </c>
      <c r="B114">
        <v>2019</v>
      </c>
      <c r="C114" t="s">
        <v>25</v>
      </c>
      <c r="D114" t="s">
        <v>10</v>
      </c>
      <c r="E114" t="s">
        <v>28</v>
      </c>
      <c r="F114" t="s">
        <v>37</v>
      </c>
      <c r="G114" t="s">
        <v>19</v>
      </c>
      <c r="H114">
        <v>2</v>
      </c>
      <c r="I114">
        <v>41459</v>
      </c>
      <c r="J114">
        <v>42666</v>
      </c>
      <c r="K114">
        <v>3509</v>
      </c>
      <c r="L114" t="s">
        <v>14</v>
      </c>
    </row>
    <row r="115" spans="1:12" x14ac:dyDescent="0.25">
      <c r="A115" t="str" cm="1">
        <f t="array" ref="A115">INDEX({"3 Series","5 Series","7 Series","i3","i8","M3","M5","X1","X3","X5","X6"},MOD(ROW()-2,11)+1)</f>
        <v>i3</v>
      </c>
      <c r="B115">
        <v>2019</v>
      </c>
      <c r="C115" t="s">
        <v>27</v>
      </c>
      <c r="D115" t="s">
        <v>26</v>
      </c>
      <c r="E115" t="s">
        <v>32</v>
      </c>
      <c r="F115" t="s">
        <v>18</v>
      </c>
      <c r="G115" t="s">
        <v>13</v>
      </c>
      <c r="H115">
        <v>2.5</v>
      </c>
      <c r="I115">
        <v>94702</v>
      </c>
      <c r="J115">
        <v>15609</v>
      </c>
      <c r="K115">
        <v>4220</v>
      </c>
      <c r="L115" t="s">
        <v>30</v>
      </c>
    </row>
    <row r="116" spans="1:12" x14ac:dyDescent="0.25">
      <c r="A116" t="str" cm="1">
        <f t="array" ref="A116">INDEX({"3 Series","5 Series","7 Series","i3","i8","M3","M5","X1","X3","X5","X6"},MOD(ROW()-2,11)+1)</f>
        <v>i8</v>
      </c>
      <c r="B116">
        <v>2019</v>
      </c>
      <c r="C116" t="s">
        <v>29</v>
      </c>
      <c r="D116" t="s">
        <v>16</v>
      </c>
      <c r="E116" t="s">
        <v>11</v>
      </c>
      <c r="F116" t="s">
        <v>12</v>
      </c>
      <c r="G116" t="s">
        <v>13</v>
      </c>
      <c r="H116">
        <v>2.5</v>
      </c>
      <c r="I116">
        <v>51892</v>
      </c>
      <c r="J116">
        <v>37922</v>
      </c>
      <c r="K116">
        <v>4625</v>
      </c>
      <c r="L116" t="s">
        <v>30</v>
      </c>
    </row>
    <row r="117" spans="1:12" x14ac:dyDescent="0.25">
      <c r="A117" t="str" cm="1">
        <f t="array" ref="A117">INDEX({"3 Series","5 Series","7 Series","i3","i8","M3","M5","X1","X3","X5","X6"},MOD(ROW()-2,11)+1)</f>
        <v>M3</v>
      </c>
      <c r="B117">
        <v>2019</v>
      </c>
      <c r="C117" t="s">
        <v>31</v>
      </c>
      <c r="D117" t="s">
        <v>16</v>
      </c>
      <c r="E117" t="s">
        <v>22</v>
      </c>
      <c r="F117" t="s">
        <v>23</v>
      </c>
      <c r="G117" t="s">
        <v>19</v>
      </c>
      <c r="H117">
        <v>2</v>
      </c>
      <c r="I117">
        <v>77235</v>
      </c>
      <c r="J117">
        <v>33689</v>
      </c>
      <c r="K117">
        <v>888</v>
      </c>
      <c r="L117" t="s">
        <v>20</v>
      </c>
    </row>
    <row r="118" spans="1:12" x14ac:dyDescent="0.25">
      <c r="A118" t="str" cm="1">
        <f t="array" ref="A118">INDEX({"3 Series","5 Series","7 Series","i3","i8","M3","M5","X1","X3","X5","X6"},MOD(ROW()-2,11)+1)</f>
        <v>M5</v>
      </c>
      <c r="B118">
        <v>2019</v>
      </c>
      <c r="C118" t="s">
        <v>33</v>
      </c>
      <c r="D118" t="s">
        <v>26</v>
      </c>
      <c r="E118" t="s">
        <v>11</v>
      </c>
      <c r="F118" t="s">
        <v>12</v>
      </c>
      <c r="G118" t="s">
        <v>13</v>
      </c>
      <c r="H118">
        <v>2.5</v>
      </c>
      <c r="I118">
        <v>52766</v>
      </c>
      <c r="J118">
        <v>32386</v>
      </c>
      <c r="K118">
        <v>2538</v>
      </c>
      <c r="L118" t="s">
        <v>20</v>
      </c>
    </row>
    <row r="119" spans="1:12" x14ac:dyDescent="0.25">
      <c r="A119" t="str" cm="1">
        <f t="array" ref="A119">INDEX({"3 Series","5 Series","7 Series","i3","i8","M3","M5","X1","X3","X5","X6"},MOD(ROW()-2,11)+1)</f>
        <v>X1</v>
      </c>
      <c r="B119">
        <v>2019</v>
      </c>
      <c r="C119" t="s">
        <v>34</v>
      </c>
      <c r="D119" t="s">
        <v>16</v>
      </c>
      <c r="E119" t="s">
        <v>11</v>
      </c>
      <c r="F119" t="s">
        <v>37</v>
      </c>
      <c r="G119" t="s">
        <v>19</v>
      </c>
      <c r="H119">
        <v>2.5</v>
      </c>
      <c r="I119">
        <v>90301</v>
      </c>
      <c r="J119">
        <v>22248</v>
      </c>
      <c r="K119">
        <v>2201</v>
      </c>
      <c r="L119" t="s">
        <v>30</v>
      </c>
    </row>
    <row r="120" spans="1:12" x14ac:dyDescent="0.25">
      <c r="A120" t="str" cm="1">
        <f t="array" ref="A120">INDEX({"3 Series","5 Series","7 Series","i3","i8","M3","M5","X1","X3","X5","X6"},MOD(ROW()-2,11)+1)</f>
        <v>X3</v>
      </c>
      <c r="B120">
        <v>2019</v>
      </c>
      <c r="C120" t="s">
        <v>35</v>
      </c>
      <c r="D120" t="s">
        <v>16</v>
      </c>
      <c r="E120" t="s">
        <v>38</v>
      </c>
      <c r="F120" t="s">
        <v>37</v>
      </c>
      <c r="G120" t="s">
        <v>13</v>
      </c>
      <c r="H120">
        <v>3</v>
      </c>
      <c r="I120">
        <v>92325</v>
      </c>
      <c r="J120">
        <v>25249</v>
      </c>
      <c r="K120">
        <v>2099</v>
      </c>
      <c r="L120" t="s">
        <v>30</v>
      </c>
    </row>
    <row r="121" spans="1:12" x14ac:dyDescent="0.25">
      <c r="A121" t="str" cm="1">
        <f t="array" ref="A121">INDEX({"3 Series","5 Series","7 Series","i3","i8","M3","M5","X1","X3","X5","X6"},MOD(ROW()-2,11)+1)</f>
        <v>X5</v>
      </c>
      <c r="B121">
        <v>2019</v>
      </c>
      <c r="C121" t="s">
        <v>36</v>
      </c>
      <c r="D121" t="s">
        <v>10</v>
      </c>
      <c r="E121" t="s">
        <v>38</v>
      </c>
      <c r="F121" t="s">
        <v>18</v>
      </c>
      <c r="G121" t="s">
        <v>19</v>
      </c>
      <c r="H121">
        <v>2</v>
      </c>
      <c r="I121">
        <v>77131</v>
      </c>
      <c r="J121">
        <v>31483</v>
      </c>
      <c r="K121">
        <v>2244</v>
      </c>
      <c r="L121" t="s">
        <v>14</v>
      </c>
    </row>
    <row r="122" spans="1:12" x14ac:dyDescent="0.25">
      <c r="A122" t="str" cm="1">
        <f t="array" ref="A122">INDEX({"3 Series","5 Series","7 Series","i3","i8","M3","M5","X1","X3","X5","X6"},MOD(ROW()-2,11)+1)</f>
        <v>X6</v>
      </c>
      <c r="B122">
        <v>2020</v>
      </c>
      <c r="C122" t="s">
        <v>9</v>
      </c>
      <c r="D122" t="s">
        <v>26</v>
      </c>
      <c r="E122" t="s">
        <v>11</v>
      </c>
      <c r="F122" t="s">
        <v>12</v>
      </c>
      <c r="G122" t="s">
        <v>13</v>
      </c>
      <c r="H122">
        <v>2.5</v>
      </c>
      <c r="I122">
        <v>27383</v>
      </c>
      <c r="J122">
        <v>31855</v>
      </c>
      <c r="K122">
        <v>1550</v>
      </c>
      <c r="L122" t="s">
        <v>14</v>
      </c>
    </row>
    <row r="123" spans="1:12" x14ac:dyDescent="0.25">
      <c r="A123" t="str" cm="1">
        <f t="array" ref="A123">INDEX({"3 Series","5 Series","7 Series","i3","i8","M3","M5","X1","X3","X5","X6"},MOD(ROW()-2,11)+1)</f>
        <v>3 Series</v>
      </c>
      <c r="B123">
        <v>2020</v>
      </c>
      <c r="C123" t="s">
        <v>15</v>
      </c>
      <c r="D123" t="s">
        <v>26</v>
      </c>
      <c r="E123" t="s">
        <v>32</v>
      </c>
      <c r="F123" t="s">
        <v>12</v>
      </c>
      <c r="G123" t="s">
        <v>19</v>
      </c>
      <c r="H123">
        <v>2</v>
      </c>
      <c r="I123">
        <v>47166</v>
      </c>
      <c r="J123">
        <v>23748</v>
      </c>
      <c r="K123">
        <v>1958</v>
      </c>
      <c r="L123" t="s">
        <v>30</v>
      </c>
    </row>
    <row r="124" spans="1:12" x14ac:dyDescent="0.25">
      <c r="A124" t="str" cm="1">
        <f t="array" ref="A124">INDEX({"3 Series","5 Series","7 Series","i3","i8","M3","M5","X1","X3","X5","X6"},MOD(ROW()-2,11)+1)</f>
        <v>5 Series</v>
      </c>
      <c r="B124">
        <v>2020</v>
      </c>
      <c r="C124" t="s">
        <v>21</v>
      </c>
      <c r="D124" t="s">
        <v>16</v>
      </c>
      <c r="E124" t="s">
        <v>22</v>
      </c>
      <c r="F124" t="s">
        <v>12</v>
      </c>
      <c r="G124" t="s">
        <v>19</v>
      </c>
      <c r="H124">
        <v>3</v>
      </c>
      <c r="I124">
        <v>78523</v>
      </c>
      <c r="J124">
        <v>16467</v>
      </c>
      <c r="K124">
        <v>4088</v>
      </c>
      <c r="L124" t="s">
        <v>30</v>
      </c>
    </row>
    <row r="125" spans="1:12" x14ac:dyDescent="0.25">
      <c r="A125" t="str" cm="1">
        <f t="array" ref="A125">INDEX({"3 Series","5 Series","7 Series","i3","i8","M3","M5","X1","X3","X5","X6"},MOD(ROW()-2,11)+1)</f>
        <v>7 Series</v>
      </c>
      <c r="B125">
        <v>2020</v>
      </c>
      <c r="C125" t="s">
        <v>24</v>
      </c>
      <c r="D125" t="s">
        <v>16</v>
      </c>
      <c r="E125" t="s">
        <v>28</v>
      </c>
      <c r="F125" t="s">
        <v>23</v>
      </c>
      <c r="G125" t="s">
        <v>19</v>
      </c>
      <c r="H125">
        <v>2</v>
      </c>
      <c r="I125">
        <v>67072</v>
      </c>
      <c r="J125">
        <v>35155</v>
      </c>
      <c r="K125">
        <v>3711</v>
      </c>
      <c r="L125" t="s">
        <v>20</v>
      </c>
    </row>
    <row r="126" spans="1:12" x14ac:dyDescent="0.25">
      <c r="A126" t="str" cm="1">
        <f t="array" ref="A126">INDEX({"3 Series","5 Series","7 Series","i3","i8","M3","M5","X1","X3","X5","X6"},MOD(ROW()-2,11)+1)</f>
        <v>i3</v>
      </c>
      <c r="B126">
        <v>2020</v>
      </c>
      <c r="C126" t="s">
        <v>25</v>
      </c>
      <c r="D126" t="s">
        <v>26</v>
      </c>
      <c r="E126" t="s">
        <v>38</v>
      </c>
      <c r="F126" t="s">
        <v>37</v>
      </c>
      <c r="G126" t="s">
        <v>13</v>
      </c>
      <c r="H126">
        <v>2</v>
      </c>
      <c r="I126">
        <v>78852</v>
      </c>
      <c r="J126">
        <v>36863</v>
      </c>
      <c r="K126">
        <v>712</v>
      </c>
      <c r="L126" t="s">
        <v>20</v>
      </c>
    </row>
    <row r="127" spans="1:12" x14ac:dyDescent="0.25">
      <c r="A127" t="str" cm="1">
        <f t="array" ref="A127">INDEX({"3 Series","5 Series","7 Series","i3","i8","M3","M5","X1","X3","X5","X6"},MOD(ROW()-2,11)+1)</f>
        <v>i8</v>
      </c>
      <c r="B127">
        <v>2020</v>
      </c>
      <c r="C127" t="s">
        <v>27</v>
      </c>
      <c r="D127" t="s">
        <v>26</v>
      </c>
      <c r="E127" t="s">
        <v>11</v>
      </c>
      <c r="F127" t="s">
        <v>23</v>
      </c>
      <c r="G127" t="s">
        <v>19</v>
      </c>
      <c r="H127">
        <v>3</v>
      </c>
      <c r="I127">
        <v>77615</v>
      </c>
      <c r="J127">
        <v>38291</v>
      </c>
      <c r="K127">
        <v>757</v>
      </c>
      <c r="L127" t="s">
        <v>20</v>
      </c>
    </row>
    <row r="128" spans="1:12" x14ac:dyDescent="0.25">
      <c r="A128" t="str" cm="1">
        <f t="array" ref="A128">INDEX({"3 Series","5 Series","7 Series","i3","i8","M3","M5","X1","X3","X5","X6"},MOD(ROW()-2,11)+1)</f>
        <v>M3</v>
      </c>
      <c r="B128">
        <v>2020</v>
      </c>
      <c r="C128" t="s">
        <v>29</v>
      </c>
      <c r="D128" t="s">
        <v>16</v>
      </c>
      <c r="E128" t="s">
        <v>11</v>
      </c>
      <c r="F128" t="s">
        <v>18</v>
      </c>
      <c r="G128" t="s">
        <v>19</v>
      </c>
      <c r="H128">
        <v>2</v>
      </c>
      <c r="I128">
        <v>59565</v>
      </c>
      <c r="J128">
        <v>18121</v>
      </c>
      <c r="K128">
        <v>780</v>
      </c>
      <c r="L128" t="s">
        <v>30</v>
      </c>
    </row>
    <row r="129" spans="1:12" x14ac:dyDescent="0.25">
      <c r="A129" t="str" cm="1">
        <f t="array" ref="A129">INDEX({"3 Series","5 Series","7 Series","i3","i8","M3","M5","X1","X3","X5","X6"},MOD(ROW()-2,11)+1)</f>
        <v>M5</v>
      </c>
      <c r="B129">
        <v>2020</v>
      </c>
      <c r="C129" t="s">
        <v>31</v>
      </c>
      <c r="D129" t="s">
        <v>16</v>
      </c>
      <c r="E129" t="s">
        <v>11</v>
      </c>
      <c r="F129" t="s">
        <v>23</v>
      </c>
      <c r="G129" t="s">
        <v>19</v>
      </c>
      <c r="H129">
        <v>3</v>
      </c>
      <c r="I129">
        <v>119045</v>
      </c>
      <c r="J129">
        <v>31346</v>
      </c>
      <c r="K129">
        <v>2262</v>
      </c>
      <c r="L129" t="s">
        <v>30</v>
      </c>
    </row>
    <row r="130" spans="1:12" x14ac:dyDescent="0.25">
      <c r="A130" t="str" cm="1">
        <f t="array" ref="A130">INDEX({"3 Series","5 Series","7 Series","i3","i8","M3","M5","X1","X3","X5","X6"},MOD(ROW()-2,11)+1)</f>
        <v>X1</v>
      </c>
      <c r="B130">
        <v>2020</v>
      </c>
      <c r="C130" t="s">
        <v>33</v>
      </c>
      <c r="D130" t="s">
        <v>10</v>
      </c>
      <c r="E130" t="s">
        <v>38</v>
      </c>
      <c r="F130" t="s">
        <v>23</v>
      </c>
      <c r="G130" t="s">
        <v>13</v>
      </c>
      <c r="H130">
        <v>2.5</v>
      </c>
      <c r="I130">
        <v>72020</v>
      </c>
      <c r="J130">
        <v>41107</v>
      </c>
      <c r="K130">
        <v>3470</v>
      </c>
      <c r="L130" t="s">
        <v>20</v>
      </c>
    </row>
    <row r="131" spans="1:12" x14ac:dyDescent="0.25">
      <c r="A131" t="str" cm="1">
        <f t="array" ref="A131">INDEX({"3 Series","5 Series","7 Series","i3","i8","M3","M5","X1","X3","X5","X6"},MOD(ROW()-2,11)+1)</f>
        <v>X3</v>
      </c>
      <c r="B131">
        <v>2020</v>
      </c>
      <c r="C131" t="s">
        <v>34</v>
      </c>
      <c r="D131" t="s">
        <v>26</v>
      </c>
      <c r="E131" t="s">
        <v>11</v>
      </c>
      <c r="F131" t="s">
        <v>18</v>
      </c>
      <c r="G131" t="s">
        <v>19</v>
      </c>
      <c r="H131">
        <v>2</v>
      </c>
      <c r="I131">
        <v>88509</v>
      </c>
      <c r="J131">
        <v>15834</v>
      </c>
      <c r="K131">
        <v>2112</v>
      </c>
      <c r="L131" t="s">
        <v>30</v>
      </c>
    </row>
    <row r="132" spans="1:12" x14ac:dyDescent="0.25">
      <c r="A132" t="str" cm="1">
        <f t="array" ref="A132">INDEX({"3 Series","5 Series","7 Series","i3","i8","M3","M5","X1","X3","X5","X6"},MOD(ROW()-2,11)+1)</f>
        <v>X5</v>
      </c>
      <c r="B132">
        <v>2020</v>
      </c>
      <c r="C132" t="s">
        <v>35</v>
      </c>
      <c r="D132" t="s">
        <v>16</v>
      </c>
      <c r="E132" t="s">
        <v>11</v>
      </c>
      <c r="F132" t="s">
        <v>12</v>
      </c>
      <c r="G132" t="s">
        <v>19</v>
      </c>
      <c r="H132">
        <v>3</v>
      </c>
      <c r="I132">
        <v>100315</v>
      </c>
      <c r="J132">
        <v>15536</v>
      </c>
      <c r="K132">
        <v>3125</v>
      </c>
      <c r="L132" t="s">
        <v>20</v>
      </c>
    </row>
    <row r="133" spans="1:12" x14ac:dyDescent="0.25">
      <c r="A133" t="str" cm="1">
        <f t="array" ref="A133">INDEX({"3 Series","5 Series","7 Series","i3","i8","M3","M5","X1","X3","X5","X6"},MOD(ROW()-2,11)+1)</f>
        <v>X6</v>
      </c>
      <c r="B133">
        <v>2020</v>
      </c>
      <c r="C133" t="s">
        <v>36</v>
      </c>
      <c r="D133" t="s">
        <v>26</v>
      </c>
      <c r="E133" t="s">
        <v>38</v>
      </c>
      <c r="F133" t="s">
        <v>12</v>
      </c>
      <c r="G133" t="s">
        <v>13</v>
      </c>
      <c r="H133">
        <v>2.5</v>
      </c>
      <c r="I133">
        <v>92811</v>
      </c>
      <c r="J133">
        <v>44324</v>
      </c>
      <c r="K133">
        <v>347</v>
      </c>
      <c r="L133" t="s">
        <v>20</v>
      </c>
    </row>
    <row r="134" spans="1:12" x14ac:dyDescent="0.25">
      <c r="A134" t="str" cm="1">
        <f t="array" ref="A134">INDEX({"3 Series","5 Series","7 Series","i3","i8","M3","M5","X1","X3","X5","X6"},MOD(ROW()-2,11)+1)</f>
        <v>3 Series</v>
      </c>
      <c r="B134">
        <v>2021</v>
      </c>
      <c r="C134" t="s">
        <v>9</v>
      </c>
      <c r="D134" t="s">
        <v>16</v>
      </c>
      <c r="E134" t="s">
        <v>28</v>
      </c>
      <c r="F134" t="s">
        <v>12</v>
      </c>
      <c r="G134" t="s">
        <v>13</v>
      </c>
      <c r="H134">
        <v>2.5</v>
      </c>
      <c r="I134">
        <v>77044</v>
      </c>
      <c r="J134">
        <v>21023</v>
      </c>
      <c r="K134">
        <v>547</v>
      </c>
      <c r="L134" t="s">
        <v>14</v>
      </c>
    </row>
    <row r="135" spans="1:12" x14ac:dyDescent="0.25">
      <c r="A135" t="str" cm="1">
        <f t="array" ref="A135">INDEX({"3 Series","5 Series","7 Series","i3","i8","M3","M5","X1","X3","X5","X6"},MOD(ROW()-2,11)+1)</f>
        <v>5 Series</v>
      </c>
      <c r="B135">
        <v>2021</v>
      </c>
      <c r="C135" t="s">
        <v>15</v>
      </c>
      <c r="D135" t="s">
        <v>10</v>
      </c>
      <c r="E135" t="s">
        <v>32</v>
      </c>
      <c r="F135" t="s">
        <v>12</v>
      </c>
      <c r="G135" t="s">
        <v>13</v>
      </c>
      <c r="H135">
        <v>2.5</v>
      </c>
      <c r="I135">
        <v>119604</v>
      </c>
      <c r="J135">
        <v>31077</v>
      </c>
      <c r="K135">
        <v>2656</v>
      </c>
      <c r="L135" t="s">
        <v>14</v>
      </c>
    </row>
    <row r="136" spans="1:12" x14ac:dyDescent="0.25">
      <c r="A136" t="str" cm="1">
        <f t="array" ref="A136">INDEX({"3 Series","5 Series","7 Series","i3","i8","M3","M5","X1","X3","X5","X6"},MOD(ROW()-2,11)+1)</f>
        <v>7 Series</v>
      </c>
      <c r="B136">
        <v>2021</v>
      </c>
      <c r="C136" t="s">
        <v>21</v>
      </c>
      <c r="D136" t="s">
        <v>26</v>
      </c>
      <c r="E136" t="s">
        <v>22</v>
      </c>
      <c r="F136" t="s">
        <v>18</v>
      </c>
      <c r="G136" t="s">
        <v>19</v>
      </c>
      <c r="H136">
        <v>3</v>
      </c>
      <c r="I136">
        <v>33151</v>
      </c>
      <c r="J136">
        <v>19823</v>
      </c>
      <c r="K136">
        <v>2214</v>
      </c>
      <c r="L136" t="s">
        <v>14</v>
      </c>
    </row>
    <row r="137" spans="1:12" x14ac:dyDescent="0.25">
      <c r="A137" t="str" cm="1">
        <f t="array" ref="A137">INDEX({"3 Series","5 Series","7 Series","i3","i8","M3","M5","X1","X3","X5","X6"},MOD(ROW()-2,11)+1)</f>
        <v>i3</v>
      </c>
      <c r="B137">
        <v>2021</v>
      </c>
      <c r="C137" t="s">
        <v>24</v>
      </c>
      <c r="D137" t="s">
        <v>16</v>
      </c>
      <c r="E137" t="s">
        <v>22</v>
      </c>
      <c r="F137" t="s">
        <v>23</v>
      </c>
      <c r="G137" t="s">
        <v>19</v>
      </c>
      <c r="H137">
        <v>2</v>
      </c>
      <c r="I137">
        <v>89018</v>
      </c>
      <c r="J137">
        <v>38621</v>
      </c>
      <c r="K137">
        <v>3151</v>
      </c>
      <c r="L137" t="s">
        <v>20</v>
      </c>
    </row>
    <row r="138" spans="1:12" x14ac:dyDescent="0.25">
      <c r="A138" t="str" cm="1">
        <f t="array" ref="A138">INDEX({"3 Series","5 Series","7 Series","i3","i8","M3","M5","X1","X3","X5","X6"},MOD(ROW()-2,11)+1)</f>
        <v>i8</v>
      </c>
      <c r="B138">
        <v>2021</v>
      </c>
      <c r="C138" t="s">
        <v>25</v>
      </c>
      <c r="D138" t="s">
        <v>26</v>
      </c>
      <c r="E138" t="s">
        <v>17</v>
      </c>
      <c r="F138" t="s">
        <v>23</v>
      </c>
      <c r="G138" t="s">
        <v>19</v>
      </c>
      <c r="H138">
        <v>2.5</v>
      </c>
      <c r="I138">
        <v>31719</v>
      </c>
      <c r="J138">
        <v>30818</v>
      </c>
      <c r="K138">
        <v>3022</v>
      </c>
      <c r="L138" t="s">
        <v>14</v>
      </c>
    </row>
    <row r="139" spans="1:12" x14ac:dyDescent="0.25">
      <c r="A139" t="str" cm="1">
        <f t="array" ref="A139">INDEX({"3 Series","5 Series","7 Series","i3","i8","M3","M5","X1","X3","X5","X6"},MOD(ROW()-2,11)+1)</f>
        <v>M3</v>
      </c>
      <c r="B139">
        <v>2021</v>
      </c>
      <c r="C139" t="s">
        <v>27</v>
      </c>
      <c r="D139" t="s">
        <v>26</v>
      </c>
      <c r="E139" t="s">
        <v>28</v>
      </c>
      <c r="F139" t="s">
        <v>18</v>
      </c>
      <c r="G139" t="s">
        <v>13</v>
      </c>
      <c r="H139">
        <v>2</v>
      </c>
      <c r="I139">
        <v>106463</v>
      </c>
      <c r="J139">
        <v>43531</v>
      </c>
      <c r="K139">
        <v>4693</v>
      </c>
      <c r="L139" t="s">
        <v>20</v>
      </c>
    </row>
    <row r="140" spans="1:12" x14ac:dyDescent="0.25">
      <c r="A140" t="str" cm="1">
        <f t="array" ref="A140">INDEX({"3 Series","5 Series","7 Series","i3","i8","M3","M5","X1","X3","X5","X6"},MOD(ROW()-2,11)+1)</f>
        <v>M5</v>
      </c>
      <c r="B140">
        <v>2021</v>
      </c>
      <c r="C140" t="s">
        <v>29</v>
      </c>
      <c r="D140" t="s">
        <v>10</v>
      </c>
      <c r="E140" t="s">
        <v>38</v>
      </c>
      <c r="F140" t="s">
        <v>23</v>
      </c>
      <c r="G140" t="s">
        <v>13</v>
      </c>
      <c r="H140">
        <v>2</v>
      </c>
      <c r="I140">
        <v>113767</v>
      </c>
      <c r="J140">
        <v>31488</v>
      </c>
      <c r="K140">
        <v>2545</v>
      </c>
      <c r="L140" t="s">
        <v>14</v>
      </c>
    </row>
    <row r="141" spans="1:12" x14ac:dyDescent="0.25">
      <c r="A141" t="str" cm="1">
        <f t="array" ref="A141">INDEX({"3 Series","5 Series","7 Series","i3","i8","M3","M5","X1","X3","X5","X6"},MOD(ROW()-2,11)+1)</f>
        <v>X1</v>
      </c>
      <c r="B141">
        <v>2021</v>
      </c>
      <c r="C141" t="s">
        <v>31</v>
      </c>
      <c r="D141" t="s">
        <v>10</v>
      </c>
      <c r="E141" t="s">
        <v>11</v>
      </c>
      <c r="F141" t="s">
        <v>18</v>
      </c>
      <c r="G141" t="s">
        <v>13</v>
      </c>
      <c r="H141">
        <v>2</v>
      </c>
      <c r="I141">
        <v>25556</v>
      </c>
      <c r="J141">
        <v>24494</v>
      </c>
      <c r="K141">
        <v>1934</v>
      </c>
      <c r="L141" t="s">
        <v>14</v>
      </c>
    </row>
    <row r="142" spans="1:12" x14ac:dyDescent="0.25">
      <c r="A142" t="str" cm="1">
        <f t="array" ref="A142">INDEX({"3 Series","5 Series","7 Series","i3","i8","M3","M5","X1","X3","X5","X6"},MOD(ROW()-2,11)+1)</f>
        <v>X3</v>
      </c>
      <c r="B142">
        <v>2021</v>
      </c>
      <c r="C142" t="s">
        <v>33</v>
      </c>
      <c r="D142" t="s">
        <v>10</v>
      </c>
      <c r="E142" t="s">
        <v>11</v>
      </c>
      <c r="F142" t="s">
        <v>18</v>
      </c>
      <c r="G142" t="s">
        <v>13</v>
      </c>
      <c r="H142">
        <v>2.5</v>
      </c>
      <c r="I142">
        <v>43742</v>
      </c>
      <c r="J142">
        <v>32389</v>
      </c>
      <c r="K142">
        <v>3911</v>
      </c>
      <c r="L142" t="s">
        <v>30</v>
      </c>
    </row>
    <row r="143" spans="1:12" x14ac:dyDescent="0.25">
      <c r="A143" t="str" cm="1">
        <f t="array" ref="A143">INDEX({"3 Series","5 Series","7 Series","i3","i8","M3","M5","X1","X3","X5","X6"},MOD(ROW()-2,11)+1)</f>
        <v>X5</v>
      </c>
      <c r="B143">
        <v>2021</v>
      </c>
      <c r="C143" t="s">
        <v>34</v>
      </c>
      <c r="D143" t="s">
        <v>26</v>
      </c>
      <c r="E143" t="s">
        <v>38</v>
      </c>
      <c r="F143" t="s">
        <v>23</v>
      </c>
      <c r="G143" t="s">
        <v>13</v>
      </c>
      <c r="H143">
        <v>2.5</v>
      </c>
      <c r="I143">
        <v>33894</v>
      </c>
      <c r="J143">
        <v>25468</v>
      </c>
      <c r="K143">
        <v>2714</v>
      </c>
      <c r="L143" t="s">
        <v>20</v>
      </c>
    </row>
    <row r="144" spans="1:12" x14ac:dyDescent="0.25">
      <c r="A144" t="str" cm="1">
        <f t="array" ref="A144">INDEX({"3 Series","5 Series","7 Series","i3","i8","M3","M5","X1","X3","X5","X6"},MOD(ROW()-2,11)+1)</f>
        <v>X6</v>
      </c>
      <c r="B144">
        <v>2021</v>
      </c>
      <c r="C144" t="s">
        <v>35</v>
      </c>
      <c r="D144" t="s">
        <v>16</v>
      </c>
      <c r="E144" t="s">
        <v>22</v>
      </c>
      <c r="F144" t="s">
        <v>37</v>
      </c>
      <c r="G144" t="s">
        <v>13</v>
      </c>
      <c r="H144">
        <v>3</v>
      </c>
      <c r="I144">
        <v>112209</v>
      </c>
      <c r="J144">
        <v>23265</v>
      </c>
      <c r="K144">
        <v>4684</v>
      </c>
      <c r="L144" t="s">
        <v>20</v>
      </c>
    </row>
    <row r="145" spans="1:12" x14ac:dyDescent="0.25">
      <c r="A145" t="str" cm="1">
        <f t="array" ref="A145">INDEX({"3 Series","5 Series","7 Series","i3","i8","M3","M5","X1","X3","X5","X6"},MOD(ROW()-2,11)+1)</f>
        <v>3 Series</v>
      </c>
      <c r="B145">
        <v>2021</v>
      </c>
      <c r="C145" t="s">
        <v>36</v>
      </c>
      <c r="D145" t="s">
        <v>26</v>
      </c>
      <c r="E145" t="s">
        <v>22</v>
      </c>
      <c r="F145" t="s">
        <v>12</v>
      </c>
      <c r="G145" t="s">
        <v>13</v>
      </c>
      <c r="H145">
        <v>2.5</v>
      </c>
      <c r="I145">
        <v>52441</v>
      </c>
      <c r="J145">
        <v>20922</v>
      </c>
      <c r="K145">
        <v>2725</v>
      </c>
      <c r="L145" t="s">
        <v>14</v>
      </c>
    </row>
    <row r="146" spans="1:12" x14ac:dyDescent="0.25">
      <c r="A146" t="str" cm="1">
        <f t="array" ref="A146">INDEX({"3 Series","5 Series","7 Series","i3","i8","M3","M5","X1","X3","X5","X6"},MOD(ROW()-2,11)+1)</f>
        <v>5 Series</v>
      </c>
      <c r="B146">
        <v>2022</v>
      </c>
      <c r="C146" t="s">
        <v>9</v>
      </c>
      <c r="D146" t="s">
        <v>26</v>
      </c>
      <c r="E146" t="s">
        <v>38</v>
      </c>
      <c r="F146" t="s">
        <v>37</v>
      </c>
      <c r="G146" t="s">
        <v>13</v>
      </c>
      <c r="H146">
        <v>3</v>
      </c>
      <c r="I146">
        <v>45597</v>
      </c>
      <c r="J146">
        <v>15987</v>
      </c>
      <c r="K146">
        <v>2462</v>
      </c>
      <c r="L146" t="s">
        <v>14</v>
      </c>
    </row>
    <row r="147" spans="1:12" x14ac:dyDescent="0.25">
      <c r="A147" t="str" cm="1">
        <f t="array" ref="A147">INDEX({"3 Series","5 Series","7 Series","i3","i8","M3","M5","X1","X3","X5","X6"},MOD(ROW()-2,11)+1)</f>
        <v>7 Series</v>
      </c>
      <c r="B147">
        <v>2022</v>
      </c>
      <c r="C147" t="s">
        <v>15</v>
      </c>
      <c r="D147" t="s">
        <v>26</v>
      </c>
      <c r="E147" t="s">
        <v>32</v>
      </c>
      <c r="F147" t="s">
        <v>12</v>
      </c>
      <c r="G147" t="s">
        <v>13</v>
      </c>
      <c r="H147">
        <v>3</v>
      </c>
      <c r="I147">
        <v>48473</v>
      </c>
      <c r="J147">
        <v>39548</v>
      </c>
      <c r="K147">
        <v>351</v>
      </c>
      <c r="L147" t="s">
        <v>20</v>
      </c>
    </row>
    <row r="148" spans="1:12" x14ac:dyDescent="0.25">
      <c r="A148" t="str" cm="1">
        <f t="array" ref="A148">INDEX({"3 Series","5 Series","7 Series","i3","i8","M3","M5","X1","X3","X5","X6"},MOD(ROW()-2,11)+1)</f>
        <v>i3</v>
      </c>
      <c r="B148">
        <v>2022</v>
      </c>
      <c r="C148" t="s">
        <v>21</v>
      </c>
      <c r="D148" t="s">
        <v>26</v>
      </c>
      <c r="E148" t="s">
        <v>22</v>
      </c>
      <c r="F148" t="s">
        <v>23</v>
      </c>
      <c r="G148" t="s">
        <v>19</v>
      </c>
      <c r="H148">
        <v>2.5</v>
      </c>
      <c r="I148">
        <v>107323</v>
      </c>
      <c r="J148">
        <v>32622</v>
      </c>
      <c r="K148">
        <v>2787</v>
      </c>
      <c r="L148" t="s">
        <v>30</v>
      </c>
    </row>
    <row r="149" spans="1:12" x14ac:dyDescent="0.25">
      <c r="A149" t="str" cm="1">
        <f t="array" ref="A149">INDEX({"3 Series","5 Series","7 Series","i3","i8","M3","M5","X1","X3","X5","X6"},MOD(ROW()-2,11)+1)</f>
        <v>i8</v>
      </c>
      <c r="B149">
        <v>2022</v>
      </c>
      <c r="C149" t="s">
        <v>24</v>
      </c>
      <c r="D149" t="s">
        <v>16</v>
      </c>
      <c r="E149" t="s">
        <v>38</v>
      </c>
      <c r="F149" t="s">
        <v>12</v>
      </c>
      <c r="G149" t="s">
        <v>13</v>
      </c>
      <c r="H149">
        <v>2.5</v>
      </c>
      <c r="I149">
        <v>60307</v>
      </c>
      <c r="J149">
        <v>30797</v>
      </c>
      <c r="K149">
        <v>4403</v>
      </c>
      <c r="L149" t="s">
        <v>14</v>
      </c>
    </row>
    <row r="150" spans="1:12" x14ac:dyDescent="0.25">
      <c r="A150" t="str" cm="1">
        <f t="array" ref="A150">INDEX({"3 Series","5 Series","7 Series","i3","i8","M3","M5","X1","X3","X5","X6"},MOD(ROW()-2,11)+1)</f>
        <v>M3</v>
      </c>
      <c r="B150">
        <v>2022</v>
      </c>
      <c r="C150" t="s">
        <v>25</v>
      </c>
      <c r="D150" t="s">
        <v>10</v>
      </c>
      <c r="E150" t="s">
        <v>11</v>
      </c>
      <c r="F150" t="s">
        <v>18</v>
      </c>
      <c r="G150" t="s">
        <v>19</v>
      </c>
      <c r="H150">
        <v>2</v>
      </c>
      <c r="I150">
        <v>41159</v>
      </c>
      <c r="J150">
        <v>19593</v>
      </c>
      <c r="K150">
        <v>3490</v>
      </c>
      <c r="L150" t="s">
        <v>30</v>
      </c>
    </row>
    <row r="151" spans="1:12" x14ac:dyDescent="0.25">
      <c r="A151" t="str" cm="1">
        <f t="array" ref="A151">INDEX({"3 Series","5 Series","7 Series","i3","i8","M3","M5","X1","X3","X5","X6"},MOD(ROW()-2,11)+1)</f>
        <v>M5</v>
      </c>
      <c r="B151">
        <v>2022</v>
      </c>
      <c r="C151" t="s">
        <v>27</v>
      </c>
      <c r="D151" t="s">
        <v>16</v>
      </c>
      <c r="E151" t="s">
        <v>17</v>
      </c>
      <c r="F151" t="s">
        <v>23</v>
      </c>
      <c r="G151" t="s">
        <v>19</v>
      </c>
      <c r="H151">
        <v>2</v>
      </c>
      <c r="I151">
        <v>47946</v>
      </c>
      <c r="J151">
        <v>37956</v>
      </c>
      <c r="K151">
        <v>1577</v>
      </c>
      <c r="L151" t="s">
        <v>20</v>
      </c>
    </row>
    <row r="152" spans="1:12" x14ac:dyDescent="0.25">
      <c r="A152" t="str" cm="1">
        <f t="array" ref="A152">INDEX({"3 Series","5 Series","7 Series","i3","i8","M3","M5","X1","X3","X5","X6"},MOD(ROW()-2,11)+1)</f>
        <v>X1</v>
      </c>
      <c r="B152">
        <v>2022</v>
      </c>
      <c r="C152" t="s">
        <v>29</v>
      </c>
      <c r="D152" t="s">
        <v>26</v>
      </c>
      <c r="E152" t="s">
        <v>38</v>
      </c>
      <c r="F152" t="s">
        <v>37</v>
      </c>
      <c r="G152" t="s">
        <v>13</v>
      </c>
      <c r="H152">
        <v>2.5</v>
      </c>
      <c r="I152">
        <v>87424</v>
      </c>
      <c r="J152">
        <v>44531</v>
      </c>
      <c r="K152">
        <v>4494</v>
      </c>
      <c r="L152" t="s">
        <v>30</v>
      </c>
    </row>
    <row r="153" spans="1:12" x14ac:dyDescent="0.25">
      <c r="A153" t="str" cm="1">
        <f t="array" ref="A153">INDEX({"3 Series","5 Series","7 Series","i3","i8","M3","M5","X1","X3","X5","X6"},MOD(ROW()-2,11)+1)</f>
        <v>X3</v>
      </c>
      <c r="B153">
        <v>2022</v>
      </c>
      <c r="C153" t="s">
        <v>31</v>
      </c>
      <c r="D153" t="s">
        <v>16</v>
      </c>
      <c r="E153" t="s">
        <v>38</v>
      </c>
      <c r="F153" t="s">
        <v>37</v>
      </c>
      <c r="G153" t="s">
        <v>19</v>
      </c>
      <c r="H153">
        <v>3</v>
      </c>
      <c r="I153">
        <v>114980</v>
      </c>
      <c r="J153">
        <v>19080</v>
      </c>
      <c r="K153">
        <v>2744</v>
      </c>
      <c r="L153" t="s">
        <v>14</v>
      </c>
    </row>
    <row r="154" spans="1:12" x14ac:dyDescent="0.25">
      <c r="A154" t="str" cm="1">
        <f t="array" ref="A154">INDEX({"3 Series","5 Series","7 Series","i3","i8","M3","M5","X1","X3","X5","X6"},MOD(ROW()-2,11)+1)</f>
        <v>X5</v>
      </c>
      <c r="B154">
        <v>2022</v>
      </c>
      <c r="C154" t="s">
        <v>33</v>
      </c>
      <c r="D154" t="s">
        <v>16</v>
      </c>
      <c r="E154" t="s">
        <v>38</v>
      </c>
      <c r="F154" t="s">
        <v>12</v>
      </c>
      <c r="G154" t="s">
        <v>19</v>
      </c>
      <c r="H154">
        <v>3</v>
      </c>
      <c r="I154">
        <v>29204</v>
      </c>
      <c r="J154">
        <v>15978</v>
      </c>
      <c r="K154">
        <v>3415</v>
      </c>
      <c r="L154" t="s">
        <v>14</v>
      </c>
    </row>
    <row r="155" spans="1:12" x14ac:dyDescent="0.25">
      <c r="A155" t="str" cm="1">
        <f t="array" ref="A155">INDEX({"3 Series","5 Series","7 Series","i3","i8","M3","M5","X1","X3","X5","X6"},MOD(ROW()-2,11)+1)</f>
        <v>X6</v>
      </c>
      <c r="B155">
        <v>2022</v>
      </c>
      <c r="C155" t="s">
        <v>34</v>
      </c>
      <c r="D155" t="s">
        <v>10</v>
      </c>
      <c r="E155" t="s">
        <v>11</v>
      </c>
      <c r="F155" t="s">
        <v>23</v>
      </c>
      <c r="G155" t="s">
        <v>19</v>
      </c>
      <c r="H155">
        <v>3</v>
      </c>
      <c r="I155">
        <v>106486</v>
      </c>
      <c r="J155">
        <v>17407</v>
      </c>
      <c r="K155">
        <v>4466</v>
      </c>
      <c r="L155" t="s">
        <v>14</v>
      </c>
    </row>
    <row r="156" spans="1:12" x14ac:dyDescent="0.25">
      <c r="A156" t="str" cm="1">
        <f t="array" ref="A156">INDEX({"3 Series","5 Series","7 Series","i3","i8","M3","M5","X1","X3","X5","X6"},MOD(ROW()-2,11)+1)</f>
        <v>3 Series</v>
      </c>
      <c r="B156">
        <v>2022</v>
      </c>
      <c r="C156" t="s">
        <v>35</v>
      </c>
      <c r="D156" t="s">
        <v>26</v>
      </c>
      <c r="E156" t="s">
        <v>17</v>
      </c>
      <c r="F156" t="s">
        <v>12</v>
      </c>
      <c r="G156" t="s">
        <v>19</v>
      </c>
      <c r="H156">
        <v>2</v>
      </c>
      <c r="I156">
        <v>116536</v>
      </c>
      <c r="J156">
        <v>32814</v>
      </c>
      <c r="K156">
        <v>2191</v>
      </c>
      <c r="L156" t="s">
        <v>14</v>
      </c>
    </row>
    <row r="157" spans="1:12" x14ac:dyDescent="0.25">
      <c r="A157" t="str" cm="1">
        <f t="array" ref="A157">INDEX({"3 Series","5 Series","7 Series","i3","i8","M3","M5","X1","X3","X5","X6"},MOD(ROW()-2,11)+1)</f>
        <v>5 Series</v>
      </c>
      <c r="B157">
        <v>2022</v>
      </c>
      <c r="C157" t="s">
        <v>36</v>
      </c>
      <c r="D157" t="s">
        <v>10</v>
      </c>
      <c r="E157" t="s">
        <v>11</v>
      </c>
      <c r="F157" t="s">
        <v>23</v>
      </c>
      <c r="G157" t="s">
        <v>13</v>
      </c>
      <c r="H157">
        <v>2</v>
      </c>
      <c r="I157">
        <v>46499</v>
      </c>
      <c r="J157">
        <v>42659</v>
      </c>
      <c r="K157">
        <v>1257</v>
      </c>
      <c r="L157" t="s">
        <v>14</v>
      </c>
    </row>
    <row r="158" spans="1:12" x14ac:dyDescent="0.25">
      <c r="A158" t="str" cm="1">
        <f t="array" ref="A158">INDEX({"3 Series","5 Series","7 Series","i3","i8","M3","M5","X1","X3","X5","X6"},MOD(ROW()-2,11)+1)</f>
        <v>7 Series</v>
      </c>
      <c r="B158">
        <v>2023</v>
      </c>
      <c r="C158" t="s">
        <v>9</v>
      </c>
      <c r="D158" t="s">
        <v>26</v>
      </c>
      <c r="E158" t="s">
        <v>28</v>
      </c>
      <c r="F158" t="s">
        <v>18</v>
      </c>
      <c r="G158" t="s">
        <v>19</v>
      </c>
      <c r="H158">
        <v>2.5</v>
      </c>
      <c r="I158">
        <v>58383</v>
      </c>
      <c r="J158">
        <v>20405</v>
      </c>
      <c r="K158">
        <v>2358</v>
      </c>
      <c r="L158" t="s">
        <v>30</v>
      </c>
    </row>
    <row r="159" spans="1:12" x14ac:dyDescent="0.25">
      <c r="A159" t="str" cm="1">
        <f t="array" ref="A159">INDEX({"3 Series","5 Series","7 Series","i3","i8","M3","M5","X1","X3","X5","X6"},MOD(ROW()-2,11)+1)</f>
        <v>i3</v>
      </c>
      <c r="B159">
        <v>2023</v>
      </c>
      <c r="C159" t="s">
        <v>15</v>
      </c>
      <c r="D159" t="s">
        <v>26</v>
      </c>
      <c r="E159" t="s">
        <v>22</v>
      </c>
      <c r="F159" t="s">
        <v>37</v>
      </c>
      <c r="G159" t="s">
        <v>13</v>
      </c>
      <c r="H159">
        <v>3</v>
      </c>
      <c r="I159">
        <v>29834</v>
      </c>
      <c r="J159">
        <v>25459</v>
      </c>
      <c r="K159">
        <v>4460</v>
      </c>
      <c r="L159" t="s">
        <v>14</v>
      </c>
    </row>
    <row r="160" spans="1:12" x14ac:dyDescent="0.25">
      <c r="A160" t="str" cm="1">
        <f t="array" ref="A160">INDEX({"3 Series","5 Series","7 Series","i3","i8","M3","M5","X1","X3","X5","X6"},MOD(ROW()-2,11)+1)</f>
        <v>i8</v>
      </c>
      <c r="B160">
        <v>2023</v>
      </c>
      <c r="C160" t="s">
        <v>21</v>
      </c>
      <c r="D160" t="s">
        <v>26</v>
      </c>
      <c r="E160" t="s">
        <v>32</v>
      </c>
      <c r="F160" t="s">
        <v>18</v>
      </c>
      <c r="G160" t="s">
        <v>19</v>
      </c>
      <c r="H160">
        <v>2.5</v>
      </c>
      <c r="I160">
        <v>62761</v>
      </c>
      <c r="J160">
        <v>15418</v>
      </c>
      <c r="K160">
        <v>2575</v>
      </c>
      <c r="L160" t="s">
        <v>30</v>
      </c>
    </row>
    <row r="161" spans="1:12" x14ac:dyDescent="0.25">
      <c r="A161" t="str" cm="1">
        <f t="array" ref="A161">INDEX({"3 Series","5 Series","7 Series","i3","i8","M3","M5","X1","X3","X5","X6"},MOD(ROW()-2,11)+1)</f>
        <v>M3</v>
      </c>
      <c r="B161">
        <v>2023</v>
      </c>
      <c r="C161" t="s">
        <v>24</v>
      </c>
      <c r="D161" t="s">
        <v>16</v>
      </c>
      <c r="E161" t="s">
        <v>28</v>
      </c>
      <c r="F161" t="s">
        <v>18</v>
      </c>
      <c r="G161" t="s">
        <v>13</v>
      </c>
      <c r="H161">
        <v>2.5</v>
      </c>
      <c r="I161">
        <v>104305</v>
      </c>
      <c r="J161">
        <v>38183</v>
      </c>
      <c r="K161">
        <v>4746</v>
      </c>
      <c r="L161" t="s">
        <v>20</v>
      </c>
    </row>
    <row r="162" spans="1:12" x14ac:dyDescent="0.25">
      <c r="A162" t="str" cm="1">
        <f t="array" ref="A162">INDEX({"3 Series","5 Series","7 Series","i3","i8","M3","M5","X1","X3","X5","X6"},MOD(ROW()-2,11)+1)</f>
        <v>M5</v>
      </c>
      <c r="B162">
        <v>2023</v>
      </c>
      <c r="C162" t="s">
        <v>25</v>
      </c>
      <c r="D162" t="s">
        <v>26</v>
      </c>
      <c r="E162" t="s">
        <v>17</v>
      </c>
      <c r="F162" t="s">
        <v>23</v>
      </c>
      <c r="G162" t="s">
        <v>13</v>
      </c>
      <c r="H162">
        <v>2</v>
      </c>
      <c r="I162">
        <v>60324</v>
      </c>
      <c r="J162">
        <v>28485</v>
      </c>
      <c r="K162">
        <v>1908</v>
      </c>
      <c r="L162" t="s">
        <v>30</v>
      </c>
    </row>
    <row r="163" spans="1:12" x14ac:dyDescent="0.25">
      <c r="A163" t="str" cm="1">
        <f t="array" ref="A163">INDEX({"3 Series","5 Series","7 Series","i3","i8","M3","M5","X1","X3","X5","X6"},MOD(ROW()-2,11)+1)</f>
        <v>X1</v>
      </c>
      <c r="B163">
        <v>2023</v>
      </c>
      <c r="C163" t="s">
        <v>27</v>
      </c>
      <c r="D163" t="s">
        <v>10</v>
      </c>
      <c r="E163" t="s">
        <v>32</v>
      </c>
      <c r="F163" t="s">
        <v>18</v>
      </c>
      <c r="G163" t="s">
        <v>13</v>
      </c>
      <c r="H163">
        <v>2.5</v>
      </c>
      <c r="I163">
        <v>40352</v>
      </c>
      <c r="J163">
        <v>33476</v>
      </c>
      <c r="K163">
        <v>3562</v>
      </c>
      <c r="L163" t="s">
        <v>20</v>
      </c>
    </row>
    <row r="164" spans="1:12" x14ac:dyDescent="0.25">
      <c r="A164" t="str" cm="1">
        <f t="array" ref="A164">INDEX({"3 Series","5 Series","7 Series","i3","i8","M3","M5","X1","X3","X5","X6"},MOD(ROW()-2,11)+1)</f>
        <v>X3</v>
      </c>
      <c r="B164">
        <v>2023</v>
      </c>
      <c r="C164" t="s">
        <v>29</v>
      </c>
      <c r="D164" t="s">
        <v>10</v>
      </c>
      <c r="E164" t="s">
        <v>38</v>
      </c>
      <c r="F164" t="s">
        <v>23</v>
      </c>
      <c r="G164" t="s">
        <v>19</v>
      </c>
      <c r="H164">
        <v>2.5</v>
      </c>
      <c r="I164">
        <v>67700</v>
      </c>
      <c r="J164">
        <v>15243</v>
      </c>
      <c r="K164">
        <v>572</v>
      </c>
      <c r="L164" t="s">
        <v>20</v>
      </c>
    </row>
    <row r="165" spans="1:12" x14ac:dyDescent="0.25">
      <c r="A165" t="str" cm="1">
        <f t="array" ref="A165">INDEX({"3 Series","5 Series","7 Series","i3","i8","M3","M5","X1","X3","X5","X6"},MOD(ROW()-2,11)+1)</f>
        <v>X5</v>
      </c>
      <c r="B165">
        <v>2023</v>
      </c>
      <c r="C165" t="s">
        <v>31</v>
      </c>
      <c r="D165" t="s">
        <v>10</v>
      </c>
      <c r="E165" t="s">
        <v>22</v>
      </c>
      <c r="F165" t="s">
        <v>37</v>
      </c>
      <c r="G165" t="s">
        <v>13</v>
      </c>
      <c r="H165">
        <v>3</v>
      </c>
      <c r="I165">
        <v>64847</v>
      </c>
      <c r="J165">
        <v>44879</v>
      </c>
      <c r="K165">
        <v>1686</v>
      </c>
      <c r="L165" t="s">
        <v>30</v>
      </c>
    </row>
    <row r="166" spans="1:12" x14ac:dyDescent="0.25">
      <c r="A166" t="str" cm="1">
        <f t="array" ref="A166">INDEX({"3 Series","5 Series","7 Series","i3","i8","M3","M5","X1","X3","X5","X6"},MOD(ROW()-2,11)+1)</f>
        <v>X6</v>
      </c>
      <c r="B166">
        <v>2023</v>
      </c>
      <c r="C166" t="s">
        <v>33</v>
      </c>
      <c r="D166" t="s">
        <v>16</v>
      </c>
      <c r="E166" t="s">
        <v>17</v>
      </c>
      <c r="F166" t="s">
        <v>37</v>
      </c>
      <c r="G166" t="s">
        <v>19</v>
      </c>
      <c r="H166">
        <v>2.5</v>
      </c>
      <c r="I166">
        <v>99561</v>
      </c>
      <c r="J166">
        <v>43987</v>
      </c>
      <c r="K166">
        <v>2943</v>
      </c>
      <c r="L166" t="s">
        <v>14</v>
      </c>
    </row>
    <row r="167" spans="1:12" x14ac:dyDescent="0.25">
      <c r="A167" t="str" cm="1">
        <f t="array" ref="A167">INDEX({"3 Series","5 Series","7 Series","i3","i8","M3","M5","X1","X3","X5","X6"},MOD(ROW()-2,11)+1)</f>
        <v>3 Series</v>
      </c>
      <c r="B167">
        <v>2023</v>
      </c>
      <c r="C167" t="s">
        <v>34</v>
      </c>
      <c r="D167" t="s">
        <v>16</v>
      </c>
      <c r="E167" t="s">
        <v>32</v>
      </c>
      <c r="F167" t="s">
        <v>37</v>
      </c>
      <c r="G167" t="s">
        <v>13</v>
      </c>
      <c r="H167">
        <v>2</v>
      </c>
      <c r="I167">
        <v>73748</v>
      </c>
      <c r="J167">
        <v>29752</v>
      </c>
      <c r="K167">
        <v>2522</v>
      </c>
      <c r="L167" t="s">
        <v>30</v>
      </c>
    </row>
    <row r="168" spans="1:12" x14ac:dyDescent="0.25">
      <c r="A168" t="str" cm="1">
        <f t="array" ref="A168">INDEX({"3 Series","5 Series","7 Series","i3","i8","M3","M5","X1","X3","X5","X6"},MOD(ROW()-2,11)+1)</f>
        <v>5 Series</v>
      </c>
      <c r="B168">
        <v>2023</v>
      </c>
      <c r="C168" t="s">
        <v>35</v>
      </c>
      <c r="D168" t="s">
        <v>16</v>
      </c>
      <c r="E168" t="s">
        <v>22</v>
      </c>
      <c r="F168" t="s">
        <v>37</v>
      </c>
      <c r="G168" t="s">
        <v>13</v>
      </c>
      <c r="H168">
        <v>2</v>
      </c>
      <c r="I168">
        <v>106657</v>
      </c>
      <c r="J168">
        <v>19456</v>
      </c>
      <c r="K168">
        <v>2255</v>
      </c>
      <c r="L168" t="s">
        <v>14</v>
      </c>
    </row>
    <row r="169" spans="1:12" x14ac:dyDescent="0.25">
      <c r="A169" t="str" cm="1">
        <f t="array" ref="A169">INDEX({"3 Series","5 Series","7 Series","i3","i8","M3","M5","X1","X3","X5","X6"},MOD(ROW()-2,11)+1)</f>
        <v>7 Series</v>
      </c>
      <c r="B169">
        <v>2023</v>
      </c>
      <c r="C169" t="s">
        <v>36</v>
      </c>
      <c r="D169" t="s">
        <v>16</v>
      </c>
      <c r="E169" t="s">
        <v>22</v>
      </c>
      <c r="F169" t="s">
        <v>18</v>
      </c>
      <c r="G169" t="s">
        <v>19</v>
      </c>
      <c r="H169">
        <v>2.5</v>
      </c>
      <c r="I169">
        <v>55700</v>
      </c>
      <c r="J169">
        <v>20278</v>
      </c>
      <c r="K169">
        <v>2640</v>
      </c>
      <c r="L169" t="s">
        <v>14</v>
      </c>
    </row>
    <row r="170" spans="1:12" x14ac:dyDescent="0.25">
      <c r="A170" t="str" cm="1">
        <f t="array" ref="A170">INDEX({"3 Series","5 Series","7 Series","i3","i8","M3","M5","X1","X3","X5","X6"},MOD(ROW()-2,11)+1)</f>
        <v>i3</v>
      </c>
      <c r="B170">
        <v>2024</v>
      </c>
      <c r="C170" t="s">
        <v>9</v>
      </c>
      <c r="D170" t="s">
        <v>16</v>
      </c>
      <c r="E170" t="s">
        <v>22</v>
      </c>
      <c r="F170" t="s">
        <v>12</v>
      </c>
      <c r="G170" t="s">
        <v>19</v>
      </c>
      <c r="H170">
        <v>2.5</v>
      </c>
      <c r="I170">
        <v>73104</v>
      </c>
      <c r="J170">
        <v>16066</v>
      </c>
      <c r="K170">
        <v>2287</v>
      </c>
      <c r="L170" t="s">
        <v>30</v>
      </c>
    </row>
    <row r="171" spans="1:12" x14ac:dyDescent="0.25">
      <c r="A171" t="str" cm="1">
        <f t="array" ref="A171">INDEX({"3 Series","5 Series","7 Series","i3","i8","M3","M5","X1","X3","X5","X6"},MOD(ROW()-2,11)+1)</f>
        <v>i8</v>
      </c>
      <c r="B171">
        <v>2024</v>
      </c>
      <c r="C171" t="s">
        <v>15</v>
      </c>
      <c r="D171" t="s">
        <v>10</v>
      </c>
      <c r="E171" t="s">
        <v>32</v>
      </c>
      <c r="F171" t="s">
        <v>23</v>
      </c>
      <c r="G171" t="s">
        <v>19</v>
      </c>
      <c r="H171">
        <v>2.5</v>
      </c>
      <c r="I171">
        <v>114492</v>
      </c>
      <c r="J171">
        <v>15000</v>
      </c>
      <c r="K171">
        <v>3968</v>
      </c>
      <c r="L171" t="s">
        <v>30</v>
      </c>
    </row>
    <row r="172" spans="1:12" x14ac:dyDescent="0.25">
      <c r="A172" t="str" cm="1">
        <f t="array" ref="A172">INDEX({"3 Series","5 Series","7 Series","i3","i8","M3","M5","X1","X3","X5","X6"},MOD(ROW()-2,11)+1)</f>
        <v>M3</v>
      </c>
      <c r="B172">
        <v>2024</v>
      </c>
      <c r="C172" t="s">
        <v>21</v>
      </c>
      <c r="D172" t="s">
        <v>10</v>
      </c>
      <c r="E172" t="s">
        <v>22</v>
      </c>
      <c r="F172" t="s">
        <v>12</v>
      </c>
      <c r="G172" t="s">
        <v>19</v>
      </c>
      <c r="H172">
        <v>3</v>
      </c>
      <c r="I172">
        <v>57733</v>
      </c>
      <c r="J172">
        <v>26462</v>
      </c>
      <c r="K172">
        <v>4678</v>
      </c>
      <c r="L172" t="s">
        <v>14</v>
      </c>
    </row>
    <row r="173" spans="1:12" x14ac:dyDescent="0.25">
      <c r="A173" t="str" cm="1">
        <f t="array" ref="A173">INDEX({"3 Series","5 Series","7 Series","i3","i8","M3","M5","X1","X3","X5","X6"},MOD(ROW()-2,11)+1)</f>
        <v>M5</v>
      </c>
      <c r="B173">
        <v>2024</v>
      </c>
      <c r="C173" t="s">
        <v>24</v>
      </c>
      <c r="D173" t="s">
        <v>16</v>
      </c>
      <c r="E173" t="s">
        <v>22</v>
      </c>
      <c r="F173" t="s">
        <v>12</v>
      </c>
      <c r="G173" t="s">
        <v>19</v>
      </c>
      <c r="H173">
        <v>2.5</v>
      </c>
      <c r="I173">
        <v>110912</v>
      </c>
      <c r="J173">
        <v>39979</v>
      </c>
      <c r="K173">
        <v>2829</v>
      </c>
      <c r="L173" t="s">
        <v>30</v>
      </c>
    </row>
    <row r="174" spans="1:12" x14ac:dyDescent="0.25">
      <c r="A174" t="str" cm="1">
        <f t="array" ref="A174">INDEX({"3 Series","5 Series","7 Series","i3","i8","M3","M5","X1","X3","X5","X6"},MOD(ROW()-2,11)+1)</f>
        <v>X1</v>
      </c>
      <c r="B174">
        <v>2024</v>
      </c>
      <c r="C174" t="s">
        <v>25</v>
      </c>
      <c r="D174" t="s">
        <v>26</v>
      </c>
      <c r="E174" t="s">
        <v>17</v>
      </c>
      <c r="F174" t="s">
        <v>18</v>
      </c>
      <c r="G174" t="s">
        <v>13</v>
      </c>
      <c r="H174">
        <v>3</v>
      </c>
      <c r="I174">
        <v>31655</v>
      </c>
      <c r="J174">
        <v>25671</v>
      </c>
      <c r="K174">
        <v>1140</v>
      </c>
      <c r="L174" t="s">
        <v>20</v>
      </c>
    </row>
    <row r="175" spans="1:12" x14ac:dyDescent="0.25">
      <c r="A175" t="str" cm="1">
        <f t="array" ref="A175">INDEX({"3 Series","5 Series","7 Series","i3","i8","M3","M5","X1","X3","X5","X6"},MOD(ROW()-2,11)+1)</f>
        <v>X3</v>
      </c>
      <c r="B175">
        <v>2024</v>
      </c>
      <c r="C175" t="s">
        <v>27</v>
      </c>
      <c r="D175" t="s">
        <v>16</v>
      </c>
      <c r="E175" t="s">
        <v>11</v>
      </c>
      <c r="F175" t="s">
        <v>23</v>
      </c>
      <c r="G175" t="s">
        <v>19</v>
      </c>
      <c r="H175">
        <v>3</v>
      </c>
      <c r="I175">
        <v>119567</v>
      </c>
      <c r="J175">
        <v>23690</v>
      </c>
      <c r="K175">
        <v>917</v>
      </c>
      <c r="L175" t="s">
        <v>14</v>
      </c>
    </row>
    <row r="176" spans="1:12" x14ac:dyDescent="0.25">
      <c r="A176" t="str" cm="1">
        <f t="array" ref="A176">INDEX({"3 Series","5 Series","7 Series","i3","i8","M3","M5","X1","X3","X5","X6"},MOD(ROW()-2,11)+1)</f>
        <v>X5</v>
      </c>
      <c r="B176">
        <v>2024</v>
      </c>
      <c r="C176" t="s">
        <v>29</v>
      </c>
      <c r="D176" t="s">
        <v>16</v>
      </c>
      <c r="E176" t="s">
        <v>32</v>
      </c>
      <c r="F176" t="s">
        <v>23</v>
      </c>
      <c r="G176" t="s">
        <v>13</v>
      </c>
      <c r="H176">
        <v>2.5</v>
      </c>
      <c r="I176">
        <v>26909</v>
      </c>
      <c r="J176">
        <v>21454</v>
      </c>
      <c r="K176">
        <v>494</v>
      </c>
      <c r="L176" t="s">
        <v>20</v>
      </c>
    </row>
    <row r="177" spans="1:12" x14ac:dyDescent="0.25">
      <c r="A177" t="str" cm="1">
        <f t="array" ref="A177">INDEX({"3 Series","5 Series","7 Series","i3","i8","M3","M5","X1","X3","X5","X6"},MOD(ROW()-2,11)+1)</f>
        <v>X6</v>
      </c>
      <c r="B177">
        <v>2024</v>
      </c>
      <c r="C177" t="s">
        <v>31</v>
      </c>
      <c r="D177" t="s">
        <v>10</v>
      </c>
      <c r="E177" t="s">
        <v>28</v>
      </c>
      <c r="F177" t="s">
        <v>18</v>
      </c>
      <c r="G177" t="s">
        <v>13</v>
      </c>
      <c r="H177">
        <v>2</v>
      </c>
      <c r="I177">
        <v>31676</v>
      </c>
      <c r="J177">
        <v>43736</v>
      </c>
      <c r="K177">
        <v>713</v>
      </c>
      <c r="L177" t="s">
        <v>30</v>
      </c>
    </row>
    <row r="178" spans="1:12" x14ac:dyDescent="0.25">
      <c r="A178" t="str" cm="1">
        <f t="array" ref="A178">INDEX({"3 Series","5 Series","7 Series","i3","i8","M3","M5","X1","X3","X5","X6"},MOD(ROW()-2,11)+1)</f>
        <v>3 Series</v>
      </c>
      <c r="B178">
        <v>2024</v>
      </c>
      <c r="C178" t="s">
        <v>33</v>
      </c>
      <c r="D178" t="s">
        <v>26</v>
      </c>
      <c r="E178" t="s">
        <v>38</v>
      </c>
      <c r="F178" t="s">
        <v>37</v>
      </c>
      <c r="G178" t="s">
        <v>19</v>
      </c>
      <c r="H178">
        <v>2</v>
      </c>
      <c r="I178">
        <v>85185</v>
      </c>
      <c r="J178">
        <v>17160</v>
      </c>
      <c r="K178">
        <v>1590</v>
      </c>
      <c r="L178" t="s">
        <v>20</v>
      </c>
    </row>
    <row r="179" spans="1:12" x14ac:dyDescent="0.25">
      <c r="A179" t="str" cm="1">
        <f t="array" ref="A179">INDEX({"3 Series","5 Series","7 Series","i3","i8","M3","M5","X1","X3","X5","X6"},MOD(ROW()-2,11)+1)</f>
        <v>5 Series</v>
      </c>
      <c r="B179">
        <v>2024</v>
      </c>
      <c r="C179" t="s">
        <v>34</v>
      </c>
      <c r="D179" t="s">
        <v>16</v>
      </c>
      <c r="E179" t="s">
        <v>38</v>
      </c>
      <c r="F179" t="s">
        <v>23</v>
      </c>
      <c r="G179" t="s">
        <v>19</v>
      </c>
      <c r="H179">
        <v>3</v>
      </c>
      <c r="I179">
        <v>52852</v>
      </c>
      <c r="J179">
        <v>21828</v>
      </c>
      <c r="K179">
        <v>3248</v>
      </c>
      <c r="L179" t="s">
        <v>30</v>
      </c>
    </row>
    <row r="180" spans="1:12" x14ac:dyDescent="0.25">
      <c r="A180" t="str" cm="1">
        <f t="array" ref="A180">INDEX({"3 Series","5 Series","7 Series","i3","i8","M3","M5","X1","X3","X5","X6"},MOD(ROW()-2,11)+1)</f>
        <v>7 Series</v>
      </c>
      <c r="B180">
        <v>2024</v>
      </c>
      <c r="C180" t="s">
        <v>35</v>
      </c>
      <c r="D180" t="s">
        <v>10</v>
      </c>
      <c r="E180" t="s">
        <v>32</v>
      </c>
      <c r="F180" t="s">
        <v>37</v>
      </c>
      <c r="G180" t="s">
        <v>19</v>
      </c>
      <c r="H180">
        <v>2</v>
      </c>
      <c r="I180">
        <v>77388</v>
      </c>
      <c r="J180">
        <v>21319</v>
      </c>
      <c r="K180">
        <v>2097</v>
      </c>
      <c r="L180" t="s">
        <v>20</v>
      </c>
    </row>
    <row r="181" spans="1:12" x14ac:dyDescent="0.25">
      <c r="A181" t="str" cm="1">
        <f t="array" ref="A181">INDEX({"3 Series","5 Series","7 Series","i3","i8","M3","M5","X1","X3","X5","X6"},MOD(ROW()-2,11)+1)</f>
        <v>i3</v>
      </c>
      <c r="B181">
        <v>2024</v>
      </c>
      <c r="C181" t="s">
        <v>36</v>
      </c>
      <c r="D181" t="s">
        <v>10</v>
      </c>
      <c r="E181" t="s">
        <v>22</v>
      </c>
      <c r="F181" t="s">
        <v>18</v>
      </c>
      <c r="G181" t="s">
        <v>13</v>
      </c>
      <c r="H181">
        <v>2</v>
      </c>
      <c r="I181">
        <v>38719</v>
      </c>
      <c r="J181">
        <v>41774</v>
      </c>
      <c r="K181">
        <v>4137</v>
      </c>
      <c r="L18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C1EA-0BC9-40EF-BF45-996847597241}">
  <dimension ref="C2:AW20"/>
  <sheetViews>
    <sheetView topLeftCell="Y6" workbookViewId="0">
      <selection activeCell="Y3" sqref="Y3"/>
    </sheetView>
  </sheetViews>
  <sheetFormatPr defaultRowHeight="15" x14ac:dyDescent="0.25"/>
  <cols>
    <col min="3" max="3" width="13.42578125" bestFit="1" customWidth="1"/>
    <col min="4" max="4" width="19.42578125" bestFit="1" customWidth="1"/>
    <col min="5" max="5" width="14" bestFit="1" customWidth="1"/>
    <col min="8" max="8" width="20.7109375" bestFit="1" customWidth="1"/>
    <col min="9" max="9" width="16.85546875" bestFit="1" customWidth="1"/>
    <col min="10" max="10" width="7.85546875" bestFit="1" customWidth="1"/>
    <col min="11" max="11" width="7" bestFit="1" customWidth="1"/>
    <col min="12" max="12" width="6.42578125" bestFit="1" customWidth="1"/>
    <col min="13" max="13" width="11.28515625" bestFit="1" customWidth="1"/>
    <col min="14" max="14" width="12" bestFit="1" customWidth="1"/>
    <col min="15" max="15" width="13.42578125" bestFit="1" customWidth="1"/>
    <col min="16" max="16" width="15.140625" bestFit="1" customWidth="1"/>
    <col min="17" max="17" width="13.7109375" bestFit="1" customWidth="1"/>
    <col min="18" max="18" width="25.5703125" bestFit="1" customWidth="1"/>
    <col min="19" max="19" width="17.5703125" bestFit="1" customWidth="1"/>
    <col min="20" max="20" width="16.85546875" bestFit="1" customWidth="1"/>
    <col min="21" max="21" width="7.42578125" bestFit="1" customWidth="1"/>
    <col min="22" max="22" width="11.28515625" bestFit="1" customWidth="1"/>
    <col min="23" max="23" width="22.5703125" bestFit="1" customWidth="1"/>
    <col min="24" max="24" width="13.42578125" bestFit="1" customWidth="1"/>
    <col min="25" max="25" width="17.5703125" bestFit="1" customWidth="1"/>
    <col min="26" max="26" width="7.42578125" bestFit="1" customWidth="1"/>
    <col min="27" max="28" width="11.28515625" bestFit="1" customWidth="1"/>
    <col min="29" max="29" width="7" bestFit="1" customWidth="1"/>
    <col min="30" max="30" width="8.28515625" bestFit="1" customWidth="1"/>
    <col min="31" max="31" width="19" bestFit="1" customWidth="1"/>
    <col min="32" max="32" width="17" bestFit="1" customWidth="1"/>
    <col min="33" max="34" width="15.28515625" bestFit="1" customWidth="1"/>
    <col min="35" max="35" width="11.28515625" bestFit="1" customWidth="1"/>
    <col min="36" max="36" width="7.42578125" bestFit="1" customWidth="1"/>
    <col min="37" max="37" width="6.85546875" bestFit="1" customWidth="1"/>
    <col min="38" max="38" width="15" bestFit="1" customWidth="1"/>
    <col min="40" max="40" width="11.5703125" bestFit="1" customWidth="1"/>
    <col min="42" max="42" width="13.42578125" bestFit="1" customWidth="1"/>
    <col min="43" max="43" width="14.28515625" bestFit="1" customWidth="1"/>
    <col min="44" max="44" width="14" bestFit="1" customWidth="1"/>
    <col min="48" max="48" width="13.42578125" bestFit="1" customWidth="1"/>
    <col min="49" max="49" width="16.7109375" bestFit="1" customWidth="1"/>
    <col min="50" max="50" width="11.7109375" bestFit="1" customWidth="1"/>
  </cols>
  <sheetData>
    <row r="2" spans="3:49" x14ac:dyDescent="0.25">
      <c r="C2" s="1" t="s">
        <v>42</v>
      </c>
      <c r="D2" t="s">
        <v>68</v>
      </c>
      <c r="E2" t="s">
        <v>56</v>
      </c>
    </row>
    <row r="3" spans="3:49" x14ac:dyDescent="0.25">
      <c r="C3" s="2" t="s">
        <v>49</v>
      </c>
      <c r="D3" s="3">
        <v>34286</v>
      </c>
      <c r="E3" s="4">
        <v>31220</v>
      </c>
      <c r="H3" s="1" t="s">
        <v>65</v>
      </c>
      <c r="I3" s="1" t="s">
        <v>57</v>
      </c>
      <c r="S3" s="1" t="s">
        <v>55</v>
      </c>
      <c r="T3" s="1" t="s">
        <v>57</v>
      </c>
      <c r="X3" s="1" t="s">
        <v>42</v>
      </c>
      <c r="Y3" t="s">
        <v>55</v>
      </c>
      <c r="AE3" s="1" t="s">
        <v>67</v>
      </c>
      <c r="AF3" s="1" t="s">
        <v>57</v>
      </c>
      <c r="AL3" t="s">
        <v>61</v>
      </c>
      <c r="AN3" t="s">
        <v>62</v>
      </c>
      <c r="AP3" s="1" t="s">
        <v>42</v>
      </c>
      <c r="AQ3" t="s">
        <v>55</v>
      </c>
      <c r="AR3" s="10"/>
      <c r="AS3" s="11"/>
      <c r="AT3" s="12"/>
      <c r="AV3" s="1" t="s">
        <v>42</v>
      </c>
      <c r="AW3" t="s">
        <v>69</v>
      </c>
    </row>
    <row r="4" spans="3:49" x14ac:dyDescent="0.25">
      <c r="C4" s="2" t="s">
        <v>53</v>
      </c>
      <c r="D4" s="3">
        <v>38063</v>
      </c>
      <c r="E4" s="4">
        <v>31256.25</v>
      </c>
      <c r="H4" s="1" t="s">
        <v>42</v>
      </c>
      <c r="I4" t="s">
        <v>37</v>
      </c>
      <c r="J4" t="s">
        <v>23</v>
      </c>
      <c r="K4" t="s">
        <v>12</v>
      </c>
      <c r="L4" t="s">
        <v>18</v>
      </c>
      <c r="M4" t="s">
        <v>54</v>
      </c>
      <c r="S4" s="1" t="s">
        <v>42</v>
      </c>
      <c r="T4" t="s">
        <v>19</v>
      </c>
      <c r="U4" t="s">
        <v>13</v>
      </c>
      <c r="V4" t="s">
        <v>54</v>
      </c>
      <c r="X4" s="2">
        <v>3</v>
      </c>
      <c r="Y4" s="3">
        <v>128559</v>
      </c>
      <c r="AE4" s="1" t="s">
        <v>42</v>
      </c>
      <c r="AF4" t="s">
        <v>20</v>
      </c>
      <c r="AG4" t="s">
        <v>30</v>
      </c>
      <c r="AH4" t="s">
        <v>14</v>
      </c>
      <c r="AI4" t="s">
        <v>54</v>
      </c>
      <c r="AL4" s="6">
        <v>2.4611111111111112</v>
      </c>
      <c r="AN4" s="6">
        <v>70126.844444444447</v>
      </c>
      <c r="AP4" s="2" t="s">
        <v>43</v>
      </c>
      <c r="AQ4" s="7">
        <v>51426</v>
      </c>
      <c r="AR4" s="13"/>
      <c r="AS4" s="14"/>
      <c r="AT4" s="15"/>
      <c r="AV4" s="2" t="s">
        <v>53</v>
      </c>
      <c r="AW4">
        <v>267</v>
      </c>
    </row>
    <row r="5" spans="3:49" x14ac:dyDescent="0.25">
      <c r="C5" s="2" t="s">
        <v>51</v>
      </c>
      <c r="D5" s="3">
        <v>38747</v>
      </c>
      <c r="E5" s="4">
        <v>27431.3125</v>
      </c>
      <c r="H5" s="2">
        <v>2010</v>
      </c>
      <c r="I5" s="7">
        <v>3877</v>
      </c>
      <c r="J5" s="7">
        <v>2425.4</v>
      </c>
      <c r="K5" s="7">
        <v>3139.3333333333335</v>
      </c>
      <c r="L5" s="7">
        <v>3855.3333333333335</v>
      </c>
      <c r="M5" s="7">
        <v>3082.3333333333335</v>
      </c>
      <c r="S5" s="2">
        <v>2010</v>
      </c>
      <c r="T5" s="3">
        <v>24224</v>
      </c>
      <c r="U5" s="3">
        <v>12764</v>
      </c>
      <c r="V5">
        <v>36988</v>
      </c>
      <c r="X5" s="2">
        <v>2</v>
      </c>
      <c r="Y5" s="3">
        <v>162865</v>
      </c>
      <c r="AE5" s="2" t="s">
        <v>37</v>
      </c>
      <c r="AF5">
        <v>11</v>
      </c>
      <c r="AG5">
        <v>19</v>
      </c>
      <c r="AH5">
        <v>16</v>
      </c>
      <c r="AI5">
        <v>46</v>
      </c>
      <c r="AP5" s="2" t="s">
        <v>44</v>
      </c>
      <c r="AQ5" s="7">
        <v>48703</v>
      </c>
      <c r="AR5" s="13"/>
      <c r="AS5" s="14"/>
      <c r="AT5" s="15"/>
      <c r="AV5" s="2" t="s">
        <v>52</v>
      </c>
      <c r="AW5">
        <v>294</v>
      </c>
    </row>
    <row r="6" spans="3:49" x14ac:dyDescent="0.25">
      <c r="C6" s="2" t="s">
        <v>52</v>
      </c>
      <c r="D6" s="3">
        <v>38779</v>
      </c>
      <c r="E6" s="4">
        <v>29510.0625</v>
      </c>
      <c r="H6" s="2">
        <v>2011</v>
      </c>
      <c r="I6" s="7">
        <v>3724.6</v>
      </c>
      <c r="J6" s="7">
        <v>2554.1999999999998</v>
      </c>
      <c r="K6" s="7">
        <v>2416</v>
      </c>
      <c r="L6" s="7">
        <v>2583</v>
      </c>
      <c r="M6" s="7">
        <v>3046.6666666666665</v>
      </c>
      <c r="S6" s="2">
        <v>2011</v>
      </c>
      <c r="T6" s="3">
        <v>22001</v>
      </c>
      <c r="U6" s="3">
        <v>14559</v>
      </c>
      <c r="V6">
        <v>36560</v>
      </c>
      <c r="X6" s="2">
        <v>2.5</v>
      </c>
      <c r="Y6" s="3">
        <v>188854</v>
      </c>
      <c r="AE6" s="2" t="s">
        <v>23</v>
      </c>
      <c r="AF6">
        <v>21</v>
      </c>
      <c r="AG6">
        <v>10</v>
      </c>
      <c r="AH6">
        <v>12</v>
      </c>
      <c r="AI6">
        <v>43</v>
      </c>
      <c r="AP6" s="2" t="s">
        <v>45</v>
      </c>
      <c r="AQ6" s="7">
        <v>48170</v>
      </c>
      <c r="AR6" s="13"/>
      <c r="AS6" s="14"/>
      <c r="AT6" s="15"/>
      <c r="AV6" s="2" t="s">
        <v>51</v>
      </c>
      <c r="AW6">
        <v>323</v>
      </c>
    </row>
    <row r="7" spans="3:49" x14ac:dyDescent="0.25">
      <c r="C7" s="2" t="s">
        <v>50</v>
      </c>
      <c r="D7" s="3">
        <v>40011</v>
      </c>
      <c r="E7" s="4">
        <v>32827.3125</v>
      </c>
      <c r="H7" s="2">
        <v>2012</v>
      </c>
      <c r="I7" s="7">
        <v>1734</v>
      </c>
      <c r="J7" s="7">
        <v>2077.1999999999998</v>
      </c>
      <c r="K7" s="7">
        <v>3065.6666666666665</v>
      </c>
      <c r="L7" s="7">
        <v>2566.5</v>
      </c>
      <c r="M7" s="7">
        <v>2348.6666666666665</v>
      </c>
      <c r="S7" s="2">
        <v>2012</v>
      </c>
      <c r="T7" s="3">
        <v>16308</v>
      </c>
      <c r="U7" s="3">
        <v>11876</v>
      </c>
      <c r="V7">
        <v>28184</v>
      </c>
      <c r="X7" s="2" t="s">
        <v>54</v>
      </c>
      <c r="Y7">
        <v>480278</v>
      </c>
      <c r="AE7" s="2" t="s">
        <v>12</v>
      </c>
      <c r="AF7">
        <v>16</v>
      </c>
      <c r="AG7">
        <v>15</v>
      </c>
      <c r="AH7">
        <v>18</v>
      </c>
      <c r="AI7">
        <v>49</v>
      </c>
      <c r="AP7" s="2" t="s">
        <v>46</v>
      </c>
      <c r="AQ7" s="7">
        <v>47107</v>
      </c>
      <c r="AR7" s="13"/>
      <c r="AS7" s="14"/>
      <c r="AT7" s="15"/>
      <c r="AV7" s="2" t="s">
        <v>50</v>
      </c>
      <c r="AW7">
        <v>1008</v>
      </c>
    </row>
    <row r="8" spans="3:49" x14ac:dyDescent="0.25">
      <c r="C8" s="2" t="s">
        <v>47</v>
      </c>
      <c r="D8" s="3">
        <v>46886</v>
      </c>
      <c r="E8" s="4">
        <v>30479.1875</v>
      </c>
      <c r="H8" s="2">
        <v>2013</v>
      </c>
      <c r="I8" s="7">
        <v>3390.5</v>
      </c>
      <c r="J8" s="7">
        <v>3169</v>
      </c>
      <c r="K8" s="7">
        <v>1521.3333333333333</v>
      </c>
      <c r="L8" s="7">
        <v>2258.75</v>
      </c>
      <c r="M8" s="7">
        <v>2490.5833333333335</v>
      </c>
      <c r="S8" s="2">
        <v>2013</v>
      </c>
      <c r="T8" s="3">
        <v>1623</v>
      </c>
      <c r="U8" s="3">
        <v>28264</v>
      </c>
      <c r="V8">
        <v>29887</v>
      </c>
      <c r="AE8" s="2" t="s">
        <v>18</v>
      </c>
      <c r="AF8">
        <v>10</v>
      </c>
      <c r="AG8">
        <v>18</v>
      </c>
      <c r="AH8">
        <v>14</v>
      </c>
      <c r="AI8">
        <v>42</v>
      </c>
      <c r="AP8" s="2" t="s">
        <v>47</v>
      </c>
      <c r="AQ8" s="7">
        <v>46886</v>
      </c>
      <c r="AR8" s="13"/>
      <c r="AS8" s="14"/>
      <c r="AT8" s="15"/>
      <c r="AV8" s="2" t="s">
        <v>49</v>
      </c>
      <c r="AW8">
        <v>599</v>
      </c>
    </row>
    <row r="9" spans="3:49" x14ac:dyDescent="0.25">
      <c r="C9" s="2" t="s">
        <v>46</v>
      </c>
      <c r="D9" s="3">
        <v>47107</v>
      </c>
      <c r="E9" s="4">
        <v>29230.647058823528</v>
      </c>
      <c r="H9" s="2">
        <v>2014</v>
      </c>
      <c r="I9" s="7">
        <v>3840.5</v>
      </c>
      <c r="J9" s="7">
        <v>2882.5</v>
      </c>
      <c r="K9" s="7">
        <v>3138.2</v>
      </c>
      <c r="L9" s="7">
        <v>2835.6666666666665</v>
      </c>
      <c r="M9" s="7">
        <v>3137</v>
      </c>
      <c r="S9" s="2">
        <v>2014</v>
      </c>
      <c r="T9" s="3">
        <v>18797</v>
      </c>
      <c r="U9" s="3">
        <v>18847</v>
      </c>
      <c r="V9">
        <v>37644</v>
      </c>
      <c r="AE9" s="2" t="s">
        <v>54</v>
      </c>
      <c r="AF9">
        <v>58</v>
      </c>
      <c r="AG9">
        <v>62</v>
      </c>
      <c r="AH9">
        <v>60</v>
      </c>
      <c r="AI9">
        <v>180</v>
      </c>
      <c r="AP9" s="2" t="s">
        <v>48</v>
      </c>
      <c r="AQ9" s="7">
        <v>48100</v>
      </c>
      <c r="AR9" s="13"/>
      <c r="AS9" s="14"/>
      <c r="AT9" s="15"/>
      <c r="AV9" s="2" t="s">
        <v>48</v>
      </c>
      <c r="AW9">
        <v>284</v>
      </c>
    </row>
    <row r="10" spans="3:49" x14ac:dyDescent="0.25">
      <c r="C10" s="2" t="s">
        <v>48</v>
      </c>
      <c r="D10" s="3">
        <v>48100</v>
      </c>
      <c r="E10" s="4">
        <v>29885.5</v>
      </c>
      <c r="H10" s="2">
        <v>2015</v>
      </c>
      <c r="I10" s="7">
        <v>2861.75</v>
      </c>
      <c r="J10" s="7">
        <v>4025</v>
      </c>
      <c r="K10" s="7">
        <v>1561.6666666666667</v>
      </c>
      <c r="L10" s="7">
        <v>2318.75</v>
      </c>
      <c r="M10" s="7">
        <v>2452.6666666666665</v>
      </c>
      <c r="S10" s="2">
        <v>2015</v>
      </c>
      <c r="T10" s="3">
        <v>14042</v>
      </c>
      <c r="U10" s="3">
        <v>15390</v>
      </c>
      <c r="V10">
        <v>29432</v>
      </c>
      <c r="AP10" s="2" t="s">
        <v>49</v>
      </c>
      <c r="AQ10" s="7">
        <v>34286</v>
      </c>
      <c r="AR10" s="13"/>
      <c r="AS10" s="14"/>
      <c r="AT10" s="15"/>
      <c r="AV10" s="2" t="s">
        <v>47</v>
      </c>
      <c r="AW10">
        <v>757</v>
      </c>
    </row>
    <row r="11" spans="3:49" x14ac:dyDescent="0.25">
      <c r="C11" s="2" t="s">
        <v>45</v>
      </c>
      <c r="D11" s="3">
        <v>48170</v>
      </c>
      <c r="E11" s="4">
        <v>30002.647058823528</v>
      </c>
      <c r="H11" s="2">
        <v>2016</v>
      </c>
      <c r="I11" s="7">
        <v>4386.666666666667</v>
      </c>
      <c r="J11" s="7">
        <v>519</v>
      </c>
      <c r="K11" s="7">
        <v>2897.25</v>
      </c>
      <c r="L11" s="7">
        <v>1613</v>
      </c>
      <c r="M11" s="7">
        <v>2552.1666666666665</v>
      </c>
      <c r="S11" s="2">
        <v>2016</v>
      </c>
      <c r="T11" s="3">
        <v>11474</v>
      </c>
      <c r="U11" s="3">
        <v>19152</v>
      </c>
      <c r="V11">
        <v>30626</v>
      </c>
      <c r="AP11" s="2" t="s">
        <v>50</v>
      </c>
      <c r="AQ11" s="7">
        <v>40011</v>
      </c>
      <c r="AR11" s="13"/>
      <c r="AS11" s="14"/>
      <c r="AT11" s="15"/>
      <c r="AV11" s="2" t="s">
        <v>46</v>
      </c>
      <c r="AW11">
        <v>441</v>
      </c>
    </row>
    <row r="12" spans="3:49" x14ac:dyDescent="0.25">
      <c r="C12" s="2" t="s">
        <v>44</v>
      </c>
      <c r="D12" s="3">
        <v>48703</v>
      </c>
      <c r="E12" s="4">
        <v>30010.823529411766</v>
      </c>
      <c r="H12" s="2">
        <v>2017</v>
      </c>
      <c r="I12" s="7">
        <v>896.25</v>
      </c>
      <c r="J12" s="7">
        <v>2416</v>
      </c>
      <c r="K12" s="7">
        <v>3028</v>
      </c>
      <c r="L12" s="7">
        <v>2932.25</v>
      </c>
      <c r="M12" s="7">
        <v>2285.5</v>
      </c>
      <c r="S12" s="2">
        <v>2017</v>
      </c>
      <c r="T12" s="3">
        <v>14112</v>
      </c>
      <c r="U12" s="3">
        <v>13314</v>
      </c>
      <c r="V12">
        <v>27426</v>
      </c>
      <c r="AP12" s="2" t="s">
        <v>51</v>
      </c>
      <c r="AQ12" s="7">
        <v>38747</v>
      </c>
      <c r="AR12" s="13"/>
      <c r="AS12" s="14"/>
      <c r="AT12" s="15"/>
      <c r="AV12" s="2" t="s">
        <v>45</v>
      </c>
      <c r="AW12">
        <v>351</v>
      </c>
    </row>
    <row r="13" spans="3:49" x14ac:dyDescent="0.25">
      <c r="C13" s="2" t="s">
        <v>43</v>
      </c>
      <c r="D13" s="3">
        <v>51426</v>
      </c>
      <c r="E13" s="4">
        <v>27523.176470588234</v>
      </c>
      <c r="H13" s="2">
        <v>2018</v>
      </c>
      <c r="I13" s="7">
        <v>2233.5714285714284</v>
      </c>
      <c r="J13" s="7">
        <v>2416</v>
      </c>
      <c r="K13" s="7">
        <v>2568.1999999999998</v>
      </c>
      <c r="L13" s="7">
        <v>2416</v>
      </c>
      <c r="M13" s="7">
        <v>2373</v>
      </c>
      <c r="S13" s="2">
        <v>2018</v>
      </c>
      <c r="T13" s="3">
        <v>9759</v>
      </c>
      <c r="U13" s="3">
        <v>18717</v>
      </c>
      <c r="V13">
        <v>28476</v>
      </c>
      <c r="AP13" s="2" t="s">
        <v>52</v>
      </c>
      <c r="AQ13" s="7">
        <v>38779</v>
      </c>
      <c r="AR13" s="13"/>
      <c r="AS13" s="14"/>
      <c r="AT13" s="15"/>
      <c r="AV13" s="2" t="s">
        <v>44</v>
      </c>
      <c r="AW13">
        <v>377</v>
      </c>
    </row>
    <row r="14" spans="3:49" x14ac:dyDescent="0.25">
      <c r="C14" s="2" t="s">
        <v>54</v>
      </c>
      <c r="D14">
        <v>480278</v>
      </c>
      <c r="E14">
        <v>29926.655555555557</v>
      </c>
      <c r="H14" s="2">
        <v>2019</v>
      </c>
      <c r="I14" s="7">
        <v>3165.5</v>
      </c>
      <c r="J14" s="7">
        <v>2721.5</v>
      </c>
      <c r="K14" s="7">
        <v>4214</v>
      </c>
      <c r="L14" s="7">
        <v>3232</v>
      </c>
      <c r="M14" s="7">
        <v>3452.0833333333335</v>
      </c>
      <c r="S14" s="2">
        <v>2019</v>
      </c>
      <c r="T14" s="3">
        <v>18535</v>
      </c>
      <c r="U14" s="3">
        <v>22890</v>
      </c>
      <c r="V14">
        <v>41425</v>
      </c>
      <c r="AP14" s="2" t="s">
        <v>53</v>
      </c>
      <c r="AQ14" s="7">
        <v>38063</v>
      </c>
      <c r="AR14" s="13"/>
      <c r="AS14" s="14"/>
      <c r="AT14" s="15"/>
      <c r="AV14" s="2" t="s">
        <v>43</v>
      </c>
      <c r="AW14">
        <v>498</v>
      </c>
    </row>
    <row r="15" spans="3:49" x14ac:dyDescent="0.25">
      <c r="H15" s="2">
        <v>2020</v>
      </c>
      <c r="I15" s="7">
        <v>712</v>
      </c>
      <c r="J15" s="7">
        <v>2550</v>
      </c>
      <c r="K15" s="7">
        <v>2213.6</v>
      </c>
      <c r="L15" s="7">
        <v>1446</v>
      </c>
      <c r="M15" s="7">
        <v>2072.6666666666665</v>
      </c>
      <c r="S15" s="2">
        <v>2020</v>
      </c>
      <c r="T15" s="3">
        <v>18793</v>
      </c>
      <c r="U15" s="3">
        <v>6079</v>
      </c>
      <c r="V15">
        <v>24872</v>
      </c>
      <c r="AP15" s="2" t="s">
        <v>54</v>
      </c>
      <c r="AQ15" s="7">
        <v>480278</v>
      </c>
      <c r="AR15" s="13"/>
      <c r="AS15" s="14"/>
      <c r="AT15" s="15"/>
      <c r="AV15" s="2" t="s">
        <v>54</v>
      </c>
      <c r="AW15">
        <v>267</v>
      </c>
    </row>
    <row r="16" spans="3:49" x14ac:dyDescent="0.25">
      <c r="H16" s="2">
        <v>2021</v>
      </c>
      <c r="I16" s="7">
        <v>4684</v>
      </c>
      <c r="J16" s="7">
        <v>2858</v>
      </c>
      <c r="K16" s="7">
        <v>1976</v>
      </c>
      <c r="L16" s="7">
        <v>3188</v>
      </c>
      <c r="M16" s="7">
        <v>2899.6666666666665</v>
      </c>
      <c r="S16" s="2">
        <v>2021</v>
      </c>
      <c r="T16" s="3">
        <v>8387</v>
      </c>
      <c r="U16" s="3">
        <v>26409</v>
      </c>
      <c r="V16">
        <v>34796</v>
      </c>
      <c r="AR16" s="13"/>
      <c r="AS16" s="14"/>
      <c r="AT16" s="15"/>
    </row>
    <row r="17" spans="8:46" x14ac:dyDescent="0.25">
      <c r="H17" s="2">
        <v>2022</v>
      </c>
      <c r="I17" s="7">
        <v>3233.3333333333335</v>
      </c>
      <c r="J17" s="7">
        <v>2521.75</v>
      </c>
      <c r="K17" s="7">
        <v>2590</v>
      </c>
      <c r="L17" s="7">
        <v>3490</v>
      </c>
      <c r="M17" s="7">
        <v>2803.0833333333335</v>
      </c>
      <c r="S17" s="2">
        <v>2022</v>
      </c>
      <c r="T17" s="3">
        <v>20670</v>
      </c>
      <c r="U17" s="3">
        <v>12967</v>
      </c>
      <c r="V17">
        <v>33637</v>
      </c>
      <c r="AR17" s="13"/>
      <c r="AS17" s="14"/>
      <c r="AT17" s="15"/>
    </row>
    <row r="18" spans="8:46" x14ac:dyDescent="0.25">
      <c r="H18" s="2">
        <v>2023</v>
      </c>
      <c r="I18" s="7">
        <v>2773.2</v>
      </c>
      <c r="J18" s="7">
        <v>1240</v>
      </c>
      <c r="K18" s="7">
        <v>2416</v>
      </c>
      <c r="L18" s="7">
        <v>3176.2</v>
      </c>
      <c r="M18" s="7">
        <v>2685.5833333333335</v>
      </c>
      <c r="S18" s="2">
        <v>2023</v>
      </c>
      <c r="T18" s="3">
        <v>11088</v>
      </c>
      <c r="U18" s="3">
        <v>21139</v>
      </c>
      <c r="V18">
        <v>32227</v>
      </c>
      <c r="AR18" s="13"/>
      <c r="AS18" s="14"/>
      <c r="AT18" s="15"/>
    </row>
    <row r="19" spans="8:46" x14ac:dyDescent="0.25">
      <c r="H19" s="2">
        <v>2024</v>
      </c>
      <c r="I19" s="7">
        <v>1843.5</v>
      </c>
      <c r="J19" s="7">
        <v>2156.75</v>
      </c>
      <c r="K19" s="7">
        <v>3264.6666666666665</v>
      </c>
      <c r="L19" s="7">
        <v>1996.6666666666667</v>
      </c>
      <c r="M19" s="7">
        <v>2341.5</v>
      </c>
      <c r="S19" s="2">
        <v>2024</v>
      </c>
      <c r="T19" s="3">
        <v>21614</v>
      </c>
      <c r="U19" s="3">
        <v>6484</v>
      </c>
      <c r="V19">
        <v>28098</v>
      </c>
      <c r="AR19" s="13"/>
      <c r="AS19" s="14"/>
      <c r="AT19" s="15"/>
    </row>
    <row r="20" spans="8:46" x14ac:dyDescent="0.25">
      <c r="H20" s="2" t="s">
        <v>54</v>
      </c>
      <c r="I20" s="7">
        <v>2816.695652173913</v>
      </c>
      <c r="J20" s="7">
        <v>2416</v>
      </c>
      <c r="K20" s="7">
        <v>2736.795918367347</v>
      </c>
      <c r="L20" s="7">
        <v>2683.7857142857142</v>
      </c>
      <c r="M20" s="7">
        <v>2668.2111111111112</v>
      </c>
      <c r="S20" s="2" t="s">
        <v>54</v>
      </c>
      <c r="T20">
        <v>231427</v>
      </c>
      <c r="U20">
        <v>248851</v>
      </c>
      <c r="V20">
        <v>480278</v>
      </c>
      <c r="AR20" s="16"/>
      <c r="AS20" s="17"/>
      <c r="AT20" s="18"/>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46289-E62E-434E-A38F-98C6F18FD952}">
  <dimension ref="A1"/>
  <sheetViews>
    <sheetView showGridLines="0" tabSelected="1" zoomScaleNormal="100" workbookViewId="0">
      <selection activeCell="AF1" sqref="AF1:AF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1E62-1E67-4103-A155-872EB060120D}">
  <dimension ref="B2:S18"/>
  <sheetViews>
    <sheetView topLeftCell="O13" workbookViewId="0">
      <selection activeCell="K2" sqref="K2"/>
    </sheetView>
  </sheetViews>
  <sheetFormatPr defaultRowHeight="15" x14ac:dyDescent="0.25"/>
  <cols>
    <col min="2" max="2" width="13.42578125" bestFit="1" customWidth="1"/>
    <col min="3" max="3" width="20.42578125" bestFit="1" customWidth="1"/>
    <col min="5" max="5" width="13.42578125" bestFit="1" customWidth="1"/>
    <col min="6" max="6" width="19.140625" bestFit="1" customWidth="1"/>
    <col min="7" max="7" width="15.140625" bestFit="1" customWidth="1"/>
    <col min="9" max="9" width="13.42578125" bestFit="1" customWidth="1"/>
    <col min="10" max="10" width="17" bestFit="1" customWidth="1"/>
    <col min="11" max="11" width="19.42578125" bestFit="1" customWidth="1"/>
    <col min="15" max="15" width="15.140625" bestFit="1" customWidth="1"/>
    <col min="17" max="17" width="18.140625" bestFit="1" customWidth="1"/>
    <col min="18" max="18" width="18" bestFit="1" customWidth="1"/>
    <col min="19" max="19" width="13.5703125" bestFit="1" customWidth="1"/>
  </cols>
  <sheetData>
    <row r="2" spans="2:19" x14ac:dyDescent="0.25">
      <c r="B2" s="1" t="s">
        <v>42</v>
      </c>
      <c r="C2" t="s">
        <v>59</v>
      </c>
      <c r="E2" s="1" t="s">
        <v>42</v>
      </c>
      <c r="F2" t="s">
        <v>66</v>
      </c>
      <c r="G2" t="s">
        <v>58</v>
      </c>
      <c r="I2" s="1" t="s">
        <v>42</v>
      </c>
      <c r="J2" t="s">
        <v>60</v>
      </c>
      <c r="K2" t="s">
        <v>68</v>
      </c>
      <c r="O2" t="s">
        <v>58</v>
      </c>
      <c r="Q2" t="s">
        <v>63</v>
      </c>
      <c r="S2" t="s">
        <v>64</v>
      </c>
    </row>
    <row r="3" spans="2:19" x14ac:dyDescent="0.25">
      <c r="B3" s="2" t="s">
        <v>10</v>
      </c>
      <c r="C3" s="5">
        <v>30821.947368421053</v>
      </c>
      <c r="E3" s="2">
        <v>2010</v>
      </c>
      <c r="F3" s="9">
        <v>13934045384</v>
      </c>
      <c r="G3" s="3">
        <v>36988</v>
      </c>
      <c r="I3" s="2" t="s">
        <v>10</v>
      </c>
      <c r="J3" s="5">
        <v>263508324639</v>
      </c>
      <c r="K3" s="3">
        <v>149989</v>
      </c>
      <c r="O3" s="3">
        <v>480278</v>
      </c>
      <c r="Q3" s="5">
        <v>2587160569844</v>
      </c>
      <c r="S3" s="8">
        <v>29926.655555555557</v>
      </c>
    </row>
    <row r="4" spans="2:19" x14ac:dyDescent="0.25">
      <c r="B4" s="2" t="s">
        <v>26</v>
      </c>
      <c r="C4" s="5">
        <v>29976.295081967211</v>
      </c>
      <c r="E4" s="2">
        <v>2011</v>
      </c>
      <c r="F4" s="9">
        <v>11725779120</v>
      </c>
      <c r="G4" s="3">
        <v>36560</v>
      </c>
      <c r="I4" s="2" t="s">
        <v>26</v>
      </c>
      <c r="J4" s="5">
        <v>274956007872</v>
      </c>
      <c r="K4" s="3">
        <v>150368</v>
      </c>
    </row>
    <row r="5" spans="2:19" x14ac:dyDescent="0.25">
      <c r="B5" s="2" t="s">
        <v>16</v>
      </c>
      <c r="C5" s="5">
        <v>29054.725806451614</v>
      </c>
      <c r="E5" s="2">
        <v>2012</v>
      </c>
      <c r="F5" s="9">
        <v>10106528744</v>
      </c>
      <c r="G5" s="3">
        <v>28184</v>
      </c>
      <c r="I5" s="2" t="s">
        <v>16</v>
      </c>
      <c r="J5" s="5">
        <v>324108429953</v>
      </c>
      <c r="K5" s="3">
        <v>179921</v>
      </c>
    </row>
    <row r="6" spans="2:19" x14ac:dyDescent="0.25">
      <c r="B6" s="2" t="s">
        <v>54</v>
      </c>
      <c r="C6">
        <v>29926.655555555557</v>
      </c>
      <c r="E6" s="2">
        <v>2013</v>
      </c>
      <c r="F6" s="9">
        <v>11801509577</v>
      </c>
      <c r="G6" s="3">
        <v>29887</v>
      </c>
      <c r="I6" s="2" t="s">
        <v>54</v>
      </c>
      <c r="J6">
        <v>2587160569844</v>
      </c>
      <c r="K6">
        <v>480278</v>
      </c>
    </row>
    <row r="7" spans="2:19" x14ac:dyDescent="0.25">
      <c r="E7" s="2">
        <v>2014</v>
      </c>
      <c r="F7" s="9">
        <v>15862353432</v>
      </c>
      <c r="G7" s="3">
        <v>37644</v>
      </c>
    </row>
    <row r="8" spans="2:19" x14ac:dyDescent="0.25">
      <c r="E8" s="2">
        <v>2015</v>
      </c>
      <c r="F8" s="9">
        <v>10780617848</v>
      </c>
      <c r="G8" s="3">
        <v>29432</v>
      </c>
    </row>
    <row r="9" spans="2:19" x14ac:dyDescent="0.25">
      <c r="E9" s="2">
        <v>2016</v>
      </c>
      <c r="F9" s="9">
        <v>11253646204</v>
      </c>
      <c r="G9" s="3">
        <v>30626</v>
      </c>
    </row>
    <row r="10" spans="2:19" x14ac:dyDescent="0.25">
      <c r="E10" s="2">
        <v>2017</v>
      </c>
      <c r="F10" s="9">
        <v>10200387624</v>
      </c>
      <c r="G10" s="3">
        <v>27426</v>
      </c>
    </row>
    <row r="11" spans="2:19" x14ac:dyDescent="0.25">
      <c r="E11" s="2">
        <v>2018</v>
      </c>
      <c r="F11" s="9">
        <v>9793010304</v>
      </c>
      <c r="G11" s="3">
        <v>28476</v>
      </c>
    </row>
    <row r="12" spans="2:19" x14ac:dyDescent="0.25">
      <c r="E12" s="2">
        <v>2019</v>
      </c>
      <c r="F12" s="9">
        <v>15544482700</v>
      </c>
      <c r="G12" s="3">
        <v>41425</v>
      </c>
    </row>
    <row r="13" spans="2:19" x14ac:dyDescent="0.25">
      <c r="E13" s="2">
        <v>2020</v>
      </c>
      <c r="F13" s="9">
        <v>8671548184</v>
      </c>
      <c r="G13" s="3">
        <v>24872</v>
      </c>
    </row>
    <row r="14" spans="2:19" x14ac:dyDescent="0.25">
      <c r="E14" s="2">
        <v>2021</v>
      </c>
      <c r="F14" s="9">
        <v>11932209524</v>
      </c>
      <c r="G14" s="3">
        <v>34796</v>
      </c>
    </row>
    <row r="15" spans="2:19" x14ac:dyDescent="0.25">
      <c r="E15" s="2">
        <v>2022</v>
      </c>
      <c r="F15" s="9">
        <v>11738371164</v>
      </c>
      <c r="G15" s="3">
        <v>33637</v>
      </c>
    </row>
    <row r="16" spans="2:19" x14ac:dyDescent="0.25">
      <c r="E16" s="2">
        <v>2023</v>
      </c>
      <c r="F16" s="9">
        <v>10796721767</v>
      </c>
      <c r="G16" s="3">
        <v>32227</v>
      </c>
    </row>
    <row r="17" spans="5:7" x14ac:dyDescent="0.25">
      <c r="E17" s="2">
        <v>2024</v>
      </c>
      <c r="F17" s="9">
        <v>8826677622</v>
      </c>
      <c r="G17" s="3">
        <v>28098</v>
      </c>
    </row>
    <row r="18" spans="5:7" x14ac:dyDescent="0.25">
      <c r="E18" s="2" t="s">
        <v>54</v>
      </c>
      <c r="F18">
        <v>2587160569844</v>
      </c>
      <c r="G18">
        <v>480278</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B4417-66A3-4936-8E81-F9044377C142}">
  <dimension ref="A1"/>
  <sheetViews>
    <sheetView showGridLines="0" zoomScaleNormal="100" workbookViewId="0">
      <selection activeCell="AG1" sqref="AG1:AG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bmw_car_sales_dataset </vt:lpstr>
      <vt:lpstr>Sheet1</vt:lpstr>
      <vt:lpstr>Product, Technology &amp; Performan</vt:lpstr>
      <vt:lpstr>Sheet2</vt:lpstr>
      <vt:lpstr>Market Overview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mukherjee</dc:creator>
  <cp:lastModifiedBy>ami.sayan.mukherjee@gmail.com</cp:lastModifiedBy>
  <dcterms:created xsi:type="dcterms:W3CDTF">2025-12-20T19:18:48Z</dcterms:created>
  <dcterms:modified xsi:type="dcterms:W3CDTF">2026-03-21T21:30:43Z</dcterms:modified>
</cp:coreProperties>
</file>